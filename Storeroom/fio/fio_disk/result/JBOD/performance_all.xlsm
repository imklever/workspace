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utian1\Desktop\"/>
    </mc:Choice>
  </mc:AlternateContent>
  <bookViews>
    <workbookView xWindow="240" yWindow="15" windowWidth="16095" windowHeight="9660"/>
  </bookViews>
  <sheets>
    <sheet name="IOPS" sheetId="1" r:id="rId1"/>
    <sheet name="BW" sheetId="2" r:id="rId2"/>
  </sheets>
  <calcPr calcId="162913"/>
</workbook>
</file>

<file path=xl/calcChain.xml><?xml version="1.0" encoding="utf-8"?>
<calcChain xmlns="http://schemas.openxmlformats.org/spreadsheetml/2006/main">
  <c r="BA41" i="2" l="1"/>
  <c r="AZ41" i="2"/>
  <c r="AY41" i="2"/>
  <c r="AX41" i="2"/>
  <c r="AW41" i="2"/>
  <c r="BA40" i="2"/>
  <c r="AZ40" i="2"/>
  <c r="AY40" i="2"/>
  <c r="AX40" i="2"/>
  <c r="AW40" i="2"/>
  <c r="BA39" i="2"/>
  <c r="AZ39" i="2"/>
  <c r="AY39" i="2"/>
  <c r="AX39" i="2"/>
  <c r="AW39" i="2"/>
  <c r="BA36" i="2"/>
  <c r="AZ36" i="2"/>
  <c r="AY36" i="2"/>
  <c r="AX36" i="2"/>
  <c r="AW36" i="2"/>
  <c r="BA35" i="2"/>
  <c r="AZ35" i="2"/>
  <c r="AY35" i="2"/>
  <c r="AX35" i="2"/>
  <c r="AW35" i="2"/>
  <c r="BA34" i="2"/>
  <c r="AZ34" i="2"/>
  <c r="AY34" i="2"/>
  <c r="AX34" i="2"/>
  <c r="AW34" i="2"/>
  <c r="BA31" i="2"/>
  <c r="AZ31" i="2"/>
  <c r="AY31" i="2"/>
  <c r="AX31" i="2"/>
  <c r="AW31" i="2"/>
  <c r="BA30" i="2"/>
  <c r="AZ30" i="2"/>
  <c r="AY30" i="2"/>
  <c r="AX30" i="2"/>
  <c r="AW30" i="2"/>
  <c r="BA29" i="2"/>
  <c r="AZ29" i="2"/>
  <c r="AY29" i="2"/>
  <c r="AX29" i="2"/>
  <c r="AW29" i="2"/>
  <c r="BA26" i="2"/>
  <c r="AZ26" i="2"/>
  <c r="AY26" i="2"/>
  <c r="AX26" i="2"/>
  <c r="AW26" i="2"/>
  <c r="BA25" i="2"/>
  <c r="AZ25" i="2"/>
  <c r="AY25" i="2"/>
  <c r="AX25" i="2"/>
  <c r="AW25" i="2"/>
  <c r="BA24" i="2"/>
  <c r="AZ24" i="2"/>
  <c r="AY24" i="2"/>
  <c r="AX24" i="2"/>
  <c r="AW24" i="2"/>
  <c r="BA20" i="2"/>
  <c r="AZ20" i="2"/>
  <c r="AY20" i="2"/>
  <c r="AX20" i="2"/>
  <c r="AW20" i="2"/>
  <c r="BA19" i="2"/>
  <c r="AZ19" i="2"/>
  <c r="AY19" i="2"/>
  <c r="AX19" i="2"/>
  <c r="AW19" i="2"/>
  <c r="BA18" i="2"/>
  <c r="AZ18" i="2"/>
  <c r="AY18" i="2"/>
  <c r="AX18" i="2"/>
  <c r="AW18" i="2"/>
  <c r="BA15" i="2"/>
  <c r="AZ15" i="2"/>
  <c r="AY15" i="2"/>
  <c r="AX15" i="2"/>
  <c r="AW15" i="2"/>
  <c r="BA14" i="2"/>
  <c r="AZ14" i="2"/>
  <c r="AY14" i="2"/>
  <c r="AX14" i="2"/>
  <c r="AW14" i="2"/>
  <c r="BA13" i="2"/>
  <c r="AZ13" i="2"/>
  <c r="AY13" i="2"/>
  <c r="AX13" i="2"/>
  <c r="AW13" i="2"/>
  <c r="BA10" i="2"/>
  <c r="AZ10" i="2"/>
  <c r="AY10" i="2"/>
  <c r="AX10" i="2"/>
  <c r="AW10" i="2"/>
  <c r="BA9" i="2"/>
  <c r="AZ9" i="2"/>
  <c r="AY9" i="2"/>
  <c r="AX9" i="2"/>
  <c r="AW9" i="2"/>
  <c r="BA8" i="2"/>
  <c r="AZ8" i="2"/>
  <c r="AY8" i="2"/>
  <c r="AX8" i="2"/>
  <c r="AW8" i="2"/>
  <c r="BA5" i="2"/>
  <c r="AZ5" i="2"/>
  <c r="AY5" i="2"/>
  <c r="AX5" i="2"/>
  <c r="AW5" i="2"/>
  <c r="BA4" i="2"/>
  <c r="AZ4" i="2"/>
  <c r="AY4" i="2"/>
  <c r="AX4" i="2"/>
  <c r="AW4" i="2"/>
  <c r="BA3" i="2"/>
  <c r="AZ3" i="2"/>
  <c r="AY3" i="2"/>
  <c r="AX3" i="2"/>
  <c r="AW3" i="2"/>
  <c r="BA79" i="1"/>
  <c r="AZ79" i="1"/>
  <c r="AY79" i="1"/>
  <c r="AX79" i="1"/>
  <c r="AW79" i="1"/>
  <c r="BA78" i="1"/>
  <c r="AZ78" i="1"/>
  <c r="AY78" i="1"/>
  <c r="AX78" i="1"/>
  <c r="AW78" i="1"/>
  <c r="BA77" i="1"/>
  <c r="AZ77" i="1"/>
  <c r="AY77" i="1"/>
  <c r="AX77" i="1"/>
  <c r="AW77" i="1"/>
  <c r="BA69" i="1"/>
  <c r="AZ69" i="1"/>
  <c r="AY69" i="1"/>
  <c r="AX69" i="1"/>
  <c r="AW69" i="1"/>
  <c r="BA68" i="1"/>
  <c r="AZ68" i="1"/>
  <c r="AY68" i="1"/>
  <c r="AX68" i="1"/>
  <c r="AW68" i="1"/>
  <c r="BA67" i="1"/>
  <c r="AZ67" i="1"/>
  <c r="AY67" i="1"/>
  <c r="AX67" i="1"/>
  <c r="AW67" i="1"/>
  <c r="BA59" i="1"/>
  <c r="AZ59" i="1"/>
  <c r="AY59" i="1"/>
  <c r="AX59" i="1"/>
  <c r="AW59" i="1"/>
  <c r="BA58" i="1"/>
  <c r="AZ58" i="1"/>
  <c r="AY58" i="1"/>
  <c r="AX58" i="1"/>
  <c r="AW58" i="1"/>
  <c r="BA57" i="1"/>
  <c r="AZ57" i="1"/>
  <c r="AY57" i="1"/>
  <c r="AX57" i="1"/>
  <c r="AW57" i="1"/>
  <c r="BA50" i="1"/>
  <c r="AZ50" i="1"/>
  <c r="AY50" i="1"/>
  <c r="AX50" i="1"/>
  <c r="AW50" i="1"/>
  <c r="BA49" i="1"/>
  <c r="AZ49" i="1"/>
  <c r="AY49" i="1"/>
  <c r="AX49" i="1"/>
  <c r="AW49" i="1"/>
  <c r="BA48" i="1"/>
  <c r="AZ48" i="1"/>
  <c r="AY48" i="1"/>
  <c r="AX48" i="1"/>
  <c r="AW48" i="1"/>
  <c r="BA39" i="1"/>
  <c r="AZ39" i="1"/>
  <c r="AY39" i="1"/>
  <c r="AX39" i="1"/>
  <c r="AW39" i="1"/>
  <c r="BA38" i="1"/>
  <c r="AZ38" i="1"/>
  <c r="AY38" i="1"/>
  <c r="AX38" i="1"/>
  <c r="AW38" i="1"/>
  <c r="BA37" i="1"/>
  <c r="AZ37" i="1"/>
  <c r="AY37" i="1"/>
  <c r="AX37" i="1"/>
  <c r="AW37" i="1"/>
  <c r="BA29" i="1"/>
  <c r="AZ29" i="1"/>
  <c r="AY29" i="1"/>
  <c r="AX29" i="1"/>
  <c r="AW29" i="1"/>
  <c r="BA28" i="1"/>
  <c r="AZ28" i="1"/>
  <c r="AY28" i="1"/>
  <c r="AX28" i="1"/>
  <c r="AW28" i="1"/>
  <c r="AY27" i="1"/>
  <c r="BA27" i="1" s="1"/>
  <c r="AX27" i="1"/>
  <c r="AW27" i="1"/>
  <c r="BA19" i="1"/>
  <c r="AZ19" i="1"/>
  <c r="AY19" i="1"/>
  <c r="AX19" i="1"/>
  <c r="AW19" i="1"/>
  <c r="BA18" i="1"/>
  <c r="AZ18" i="1"/>
  <c r="AY18" i="1"/>
  <c r="AX18" i="1"/>
  <c r="AW18" i="1"/>
  <c r="BA17" i="1"/>
  <c r="AZ17" i="1"/>
  <c r="AY17" i="1"/>
  <c r="AX17" i="1"/>
  <c r="AW17" i="1"/>
  <c r="BA6" i="1"/>
  <c r="AZ6" i="1"/>
  <c r="AY6" i="1"/>
  <c r="AX6" i="1"/>
  <c r="AW6" i="1"/>
  <c r="BA5" i="1"/>
  <c r="AZ5" i="1"/>
  <c r="AY5" i="1"/>
  <c r="AX5" i="1"/>
  <c r="AW5" i="1"/>
  <c r="BA4" i="1"/>
  <c r="AZ4" i="1"/>
  <c r="AY4" i="1"/>
  <c r="AX4" i="1"/>
  <c r="AW4" i="1"/>
  <c r="AZ27" i="1" l="1"/>
  <c r="M79" i="1"/>
  <c r="M78" i="1"/>
  <c r="M77" i="1"/>
  <c r="L79" i="1"/>
  <c r="L78" i="1"/>
  <c r="L77" i="1"/>
  <c r="K79" i="1"/>
  <c r="K78" i="1"/>
  <c r="K77" i="1"/>
  <c r="J79" i="1"/>
  <c r="J78" i="1"/>
  <c r="J77" i="1"/>
  <c r="I79" i="1"/>
  <c r="I78" i="1"/>
  <c r="I77" i="1"/>
  <c r="M69" i="1"/>
  <c r="M68" i="1"/>
  <c r="M67" i="1"/>
  <c r="L69" i="1"/>
  <c r="L68" i="1"/>
  <c r="L67" i="1"/>
  <c r="K69" i="1"/>
  <c r="K68" i="1"/>
  <c r="K67" i="1"/>
  <c r="J69" i="1"/>
  <c r="J68" i="1"/>
  <c r="J67" i="1"/>
  <c r="I69" i="1"/>
  <c r="I68" i="1"/>
  <c r="I67" i="1"/>
  <c r="M59" i="1"/>
  <c r="M58" i="1"/>
  <c r="M57" i="1"/>
  <c r="L59" i="1"/>
  <c r="L58" i="1"/>
  <c r="L57" i="1"/>
  <c r="K59" i="1"/>
  <c r="K58" i="1"/>
  <c r="K57" i="1"/>
  <c r="J59" i="1"/>
  <c r="J58" i="1"/>
  <c r="J57" i="1"/>
  <c r="I59" i="1"/>
  <c r="I58" i="1"/>
  <c r="I57" i="1"/>
  <c r="M50" i="1"/>
  <c r="M49" i="1"/>
  <c r="M48" i="1"/>
  <c r="L50" i="1"/>
  <c r="L49" i="1"/>
  <c r="L48" i="1"/>
  <c r="K50" i="1"/>
  <c r="K49" i="1"/>
  <c r="K48" i="1"/>
  <c r="J50" i="1"/>
  <c r="J49" i="1"/>
  <c r="J48" i="1"/>
  <c r="I50" i="1"/>
  <c r="I49" i="1"/>
  <c r="I48" i="1"/>
  <c r="M39" i="1"/>
  <c r="M38" i="1"/>
  <c r="M37" i="1"/>
  <c r="L39" i="1"/>
  <c r="L38" i="1"/>
  <c r="L37" i="1"/>
  <c r="K39" i="1"/>
  <c r="K38" i="1"/>
  <c r="K37" i="1"/>
  <c r="J39" i="1"/>
  <c r="J38" i="1"/>
  <c r="J37" i="1"/>
  <c r="I39" i="1"/>
  <c r="I38" i="1"/>
  <c r="I37" i="1"/>
  <c r="M29" i="1"/>
  <c r="M28" i="1"/>
  <c r="M27" i="1"/>
  <c r="L29" i="1"/>
  <c r="L28" i="1"/>
  <c r="L27" i="1"/>
  <c r="K29" i="1"/>
  <c r="K28" i="1"/>
  <c r="K27" i="1"/>
  <c r="J29" i="1"/>
  <c r="J28" i="1"/>
  <c r="J27" i="1"/>
  <c r="I29" i="1"/>
  <c r="I28" i="1"/>
  <c r="I27" i="1"/>
  <c r="M19" i="1"/>
  <c r="M18" i="1"/>
  <c r="M17" i="1"/>
  <c r="L19" i="1"/>
  <c r="L18" i="1"/>
  <c r="L17" i="1"/>
  <c r="K19" i="1"/>
  <c r="K18" i="1"/>
  <c r="K17" i="1"/>
  <c r="J19" i="1"/>
  <c r="J18" i="1"/>
  <c r="J17" i="1"/>
  <c r="I19" i="1"/>
  <c r="I18" i="1"/>
  <c r="I17" i="1"/>
  <c r="M6" i="1"/>
  <c r="M5" i="1"/>
  <c r="M4" i="1"/>
  <c r="L6" i="1"/>
  <c r="L5" i="1"/>
  <c r="L4" i="1"/>
  <c r="K6" i="1"/>
  <c r="K5" i="1"/>
  <c r="K4" i="1"/>
  <c r="J6" i="1"/>
  <c r="J5" i="1"/>
  <c r="J4" i="1"/>
  <c r="I6" i="1"/>
  <c r="I5" i="1"/>
  <c r="I4" i="1"/>
  <c r="L40" i="2"/>
  <c r="M41" i="2"/>
  <c r="M40" i="2"/>
  <c r="M39" i="2"/>
  <c r="L41" i="2"/>
  <c r="L39" i="2"/>
  <c r="K41" i="2"/>
  <c r="K40" i="2"/>
  <c r="K39" i="2"/>
  <c r="J41" i="2"/>
  <c r="J40" i="2"/>
  <c r="J39" i="2"/>
  <c r="I41" i="2"/>
  <c r="I40" i="2"/>
  <c r="I39" i="2"/>
  <c r="M36" i="2"/>
  <c r="M35" i="2"/>
  <c r="M34" i="2"/>
  <c r="L36" i="2"/>
  <c r="L35" i="2"/>
  <c r="L34" i="2"/>
  <c r="K36" i="2"/>
  <c r="K35" i="2"/>
  <c r="K34" i="2"/>
  <c r="J36" i="2"/>
  <c r="J35" i="2"/>
  <c r="J34" i="2"/>
  <c r="I36" i="2"/>
  <c r="I35" i="2"/>
  <c r="I34" i="2"/>
  <c r="M31" i="2"/>
  <c r="M30" i="2"/>
  <c r="M29" i="2"/>
  <c r="L31" i="2"/>
  <c r="L30" i="2"/>
  <c r="L29" i="2"/>
  <c r="K31" i="2"/>
  <c r="K30" i="2"/>
  <c r="K29" i="2"/>
  <c r="J31" i="2"/>
  <c r="J30" i="2"/>
  <c r="J29" i="2"/>
  <c r="I31" i="2"/>
  <c r="I30" i="2"/>
  <c r="I29" i="2"/>
  <c r="M26" i="2"/>
  <c r="M25" i="2"/>
  <c r="M24" i="2"/>
  <c r="L26" i="2"/>
  <c r="L25" i="2"/>
  <c r="L24" i="2"/>
  <c r="K26" i="2"/>
  <c r="K25" i="2"/>
  <c r="K24" i="2"/>
  <c r="J26" i="2"/>
  <c r="J25" i="2"/>
  <c r="J24" i="2"/>
  <c r="I26" i="2"/>
  <c r="I25" i="2"/>
  <c r="I24" i="2"/>
  <c r="M20" i="2"/>
  <c r="M19" i="2"/>
  <c r="M18" i="2"/>
  <c r="L20" i="2"/>
  <c r="L19" i="2"/>
  <c r="L18" i="2"/>
  <c r="K20" i="2"/>
  <c r="K19" i="2"/>
  <c r="K18" i="2"/>
  <c r="J20" i="2"/>
  <c r="J19" i="2"/>
  <c r="J18" i="2"/>
  <c r="I20" i="2"/>
  <c r="I19" i="2"/>
  <c r="I18" i="2"/>
  <c r="M15" i="2"/>
  <c r="M14" i="2"/>
  <c r="M13" i="2"/>
  <c r="L15" i="2"/>
  <c r="L14" i="2"/>
  <c r="L13" i="2"/>
  <c r="K15" i="2"/>
  <c r="K14" i="2"/>
  <c r="K13" i="2"/>
  <c r="J15" i="2"/>
  <c r="J14" i="2"/>
  <c r="J13" i="2"/>
  <c r="I15" i="2"/>
  <c r="I14" i="2"/>
  <c r="I13" i="2"/>
  <c r="M10" i="2"/>
  <c r="M9" i="2"/>
  <c r="M8" i="2"/>
  <c r="L10" i="2"/>
  <c r="L9" i="2"/>
  <c r="L8" i="2"/>
  <c r="K10" i="2"/>
  <c r="K9" i="2"/>
  <c r="K8" i="2"/>
  <c r="J10" i="2"/>
  <c r="J9" i="2"/>
  <c r="J8" i="2"/>
  <c r="I10" i="2"/>
  <c r="I9" i="2"/>
  <c r="I8" i="2"/>
  <c r="M5" i="2"/>
  <c r="M4" i="2"/>
  <c r="M3" i="2"/>
  <c r="L5" i="2"/>
  <c r="L4" i="2"/>
  <c r="L3" i="2"/>
  <c r="K5" i="2"/>
  <c r="K4" i="2"/>
  <c r="K3" i="2"/>
  <c r="J5" i="2"/>
  <c r="J4" i="2"/>
  <c r="J3" i="2"/>
  <c r="I5" i="2"/>
  <c r="I4" i="2"/>
  <c r="I3" i="2"/>
</calcChain>
</file>

<file path=xl/sharedStrings.xml><?xml version="1.0" encoding="utf-8"?>
<sst xmlns="http://schemas.openxmlformats.org/spreadsheetml/2006/main" count="712" uniqueCount="45">
  <si>
    <t>disk</t>
  </si>
  <si>
    <t>sda</t>
  </si>
  <si>
    <t>sdb</t>
  </si>
  <si>
    <t>sdd</t>
  </si>
  <si>
    <t>sde</t>
  </si>
  <si>
    <t>sdf</t>
  </si>
  <si>
    <t>sdg</t>
  </si>
  <si>
    <t>sdh</t>
  </si>
  <si>
    <t>sdi</t>
  </si>
  <si>
    <t>sdj</t>
  </si>
  <si>
    <t>sdk</t>
  </si>
  <si>
    <t>sdl</t>
  </si>
  <si>
    <t>sdm</t>
  </si>
  <si>
    <t>sdn</t>
  </si>
  <si>
    <t>IOPS(randwrite_04k)</t>
  </si>
  <si>
    <t>IOPS(randwrite_08k)</t>
  </si>
  <si>
    <t>IOPS(randwrite_64k)</t>
  </si>
  <si>
    <t>BW(randwrite_04k)</t>
  </si>
  <si>
    <t>BW(randwrite_08k)</t>
  </si>
  <si>
    <t>BW(randwrite_64k)</t>
  </si>
  <si>
    <t>IOPS(randread_04k)</t>
  </si>
  <si>
    <t>IOPS(randread_08k)</t>
  </si>
  <si>
    <t>IOPS(randread_64k)</t>
  </si>
  <si>
    <t>BW(randread_04k)</t>
  </si>
  <si>
    <t>BW(randread_08k)</t>
  </si>
  <si>
    <t>BW(randread_64k)</t>
  </si>
  <si>
    <t>IOPS(write_64k)</t>
  </si>
  <si>
    <t>IOPS(write_512k)</t>
  </si>
  <si>
    <t>IOPS(write_1m)</t>
  </si>
  <si>
    <t>BW(write_64k)</t>
  </si>
  <si>
    <t>BW(write_512k)</t>
  </si>
  <si>
    <t>BW(write_1m)</t>
  </si>
  <si>
    <t>IOPS(read_64k)</t>
  </si>
  <si>
    <t>IOPS(read_512k)</t>
  </si>
  <si>
    <t>IOPS(read_1m)</t>
  </si>
  <si>
    <t>BW(read_64k)</t>
  </si>
  <si>
    <t>BW(read_512k)</t>
  </si>
  <si>
    <t>BW(read_1m)</t>
  </si>
  <si>
    <t>bare_disk</t>
    <phoneticPr fontId="3" type="noConversion"/>
  </si>
  <si>
    <t>xfs disk</t>
    <phoneticPr fontId="3" type="noConversion"/>
  </si>
  <si>
    <t>min</t>
    <phoneticPr fontId="3" type="noConversion"/>
  </si>
  <si>
    <t>max</t>
    <phoneticPr fontId="3" type="noConversion"/>
  </si>
  <si>
    <t>diff</t>
    <phoneticPr fontId="3" type="noConversion"/>
  </si>
  <si>
    <t>diff % max</t>
    <phoneticPr fontId="3" type="noConversion"/>
  </si>
  <si>
    <t>diff % min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</si>
</sst>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 applyProtection="1">
      <alignment horizontal="left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79"/>
  <sheetViews>
    <sheetView tabSelected="1" zoomScaleNormal="100" workbookViewId="0"/>
  </sheetViews>
  <sheetFormatPr defaultRowHeight="13.5" x14ac:dyDescent="0.15"/>
  <cols>
    <col min="1" max="1" width="24.5" style="3" bestFit="1" customWidth="1"/>
    <col min="2" max="7" width="6.5" style="3" bestFit="1" customWidth="1"/>
    <col min="8" max="8" width="6.5" style="3" customWidth="1"/>
    <col min="9" max="10" width="6.5" style="3" bestFit="1" customWidth="1"/>
    <col min="11" max="11" width="5.5" style="3" bestFit="1" customWidth="1"/>
    <col min="12" max="13" width="12.75" style="3" bestFit="1" customWidth="1"/>
    <col min="14" max="14" width="11.625" style="3" customWidth="1"/>
    <col min="15" max="15" width="5.5" style="3" bestFit="1" customWidth="1"/>
    <col min="16" max="16" width="5.5" style="3" customWidth="1"/>
    <col min="17" max="47" width="5.5" style="3" bestFit="1" customWidth="1"/>
    <col min="48" max="48" width="4.5" style="3" bestFit="1" customWidth="1"/>
    <col min="49" max="51" width="5.5" style="3" bestFit="1" customWidth="1"/>
    <col min="52" max="53" width="12.75" style="3" bestFit="1" customWidth="1"/>
    <col min="54" max="16384" width="9" style="3"/>
  </cols>
  <sheetData>
    <row r="1" spans="1:53" s="6" customFormat="1" x14ac:dyDescent="0.15">
      <c r="I1" s="6" t="s">
        <v>40</v>
      </c>
      <c r="J1" s="6" t="s">
        <v>41</v>
      </c>
      <c r="K1" s="6" t="s">
        <v>42</v>
      </c>
      <c r="L1" s="6" t="s">
        <v>44</v>
      </c>
      <c r="M1" s="6" t="s">
        <v>43</v>
      </c>
      <c r="AW1" s="6" t="s">
        <v>40</v>
      </c>
      <c r="AX1" s="6" t="s">
        <v>41</v>
      </c>
      <c r="AY1" s="6" t="s">
        <v>42</v>
      </c>
      <c r="AZ1" s="6" t="s">
        <v>44</v>
      </c>
      <c r="BA1" s="6" t="s">
        <v>43</v>
      </c>
    </row>
    <row r="2" spans="1:53" x14ac:dyDescent="0.15">
      <c r="A2" s="5" t="s">
        <v>38</v>
      </c>
    </row>
    <row r="3" spans="1:53" x14ac:dyDescent="0.15">
      <c r="A3" s="4" t="s">
        <v>0</v>
      </c>
      <c r="B3" s="2" t="s">
        <v>1</v>
      </c>
      <c r="C3" s="2" t="s">
        <v>2</v>
      </c>
      <c r="D3" s="2" t="s">
        <v>1</v>
      </c>
      <c r="E3" s="2" t="s">
        <v>2</v>
      </c>
      <c r="F3" s="2" t="s">
        <v>1</v>
      </c>
      <c r="G3" s="2" t="s">
        <v>2</v>
      </c>
      <c r="H3" s="2"/>
      <c r="I3" s="2"/>
      <c r="J3" s="2"/>
      <c r="K3" s="2"/>
      <c r="L3" s="2"/>
      <c r="M3" s="2"/>
      <c r="N3" s="2"/>
      <c r="O3" s="2" t="s">
        <v>3</v>
      </c>
      <c r="P3" s="2" t="s">
        <v>4</v>
      </c>
      <c r="Q3" s="2" t="s">
        <v>5</v>
      </c>
      <c r="R3" s="2" t="s">
        <v>6</v>
      </c>
      <c r="S3" s="2" t="s">
        <v>7</v>
      </c>
      <c r="T3" s="2" t="s">
        <v>8</v>
      </c>
      <c r="U3" s="2" t="s">
        <v>9</v>
      </c>
      <c r="V3" s="2" t="s">
        <v>10</v>
      </c>
      <c r="W3" s="2" t="s">
        <v>11</v>
      </c>
      <c r="X3" s="2" t="s">
        <v>12</v>
      </c>
      <c r="Y3" s="2" t="s">
        <v>13</v>
      </c>
      <c r="Z3" s="2" t="s">
        <v>3</v>
      </c>
      <c r="AA3" s="2" t="s">
        <v>4</v>
      </c>
      <c r="AB3" s="2" t="s">
        <v>5</v>
      </c>
      <c r="AC3" s="2" t="s">
        <v>6</v>
      </c>
      <c r="AD3" s="2" t="s">
        <v>7</v>
      </c>
      <c r="AE3" s="2" t="s">
        <v>8</v>
      </c>
      <c r="AF3" s="2" t="s">
        <v>9</v>
      </c>
      <c r="AG3" s="2" t="s">
        <v>10</v>
      </c>
      <c r="AH3" s="2" t="s">
        <v>11</v>
      </c>
      <c r="AI3" s="2" t="s">
        <v>12</v>
      </c>
      <c r="AJ3" s="2" t="s">
        <v>13</v>
      </c>
      <c r="AK3" s="2" t="s">
        <v>3</v>
      </c>
      <c r="AL3" s="2" t="s">
        <v>4</v>
      </c>
      <c r="AM3" s="2" t="s">
        <v>5</v>
      </c>
      <c r="AN3" s="2" t="s">
        <v>6</v>
      </c>
      <c r="AO3" s="2" t="s">
        <v>7</v>
      </c>
      <c r="AP3" s="2" t="s">
        <v>8</v>
      </c>
      <c r="AQ3" s="2" t="s">
        <v>9</v>
      </c>
      <c r="AR3" s="2" t="s">
        <v>10</v>
      </c>
      <c r="AS3" s="2" t="s">
        <v>11</v>
      </c>
      <c r="AT3" s="2" t="s">
        <v>12</v>
      </c>
      <c r="AU3" s="2" t="s">
        <v>13</v>
      </c>
      <c r="AV3" s="2"/>
      <c r="AW3" s="2"/>
      <c r="AX3" s="2"/>
      <c r="AY3" s="2"/>
      <c r="AZ3" s="2"/>
      <c r="BA3" s="2"/>
    </row>
    <row r="4" spans="1:53" x14ac:dyDescent="0.15">
      <c r="A4" s="4" t="s">
        <v>14</v>
      </c>
      <c r="B4" s="3">
        <v>63800</v>
      </c>
      <c r="C4" s="3">
        <v>63700</v>
      </c>
      <c r="D4" s="3">
        <v>64500</v>
      </c>
      <c r="E4" s="3">
        <v>64200</v>
      </c>
      <c r="F4" s="3">
        <v>63400</v>
      </c>
      <c r="G4" s="3">
        <v>59600</v>
      </c>
      <c r="I4" s="3">
        <f>MIN(B4:G4)</f>
        <v>59600</v>
      </c>
      <c r="J4" s="3">
        <f>MAX(B4:G4)</f>
        <v>64500</v>
      </c>
      <c r="K4" s="3">
        <f>J4-I4</f>
        <v>4900</v>
      </c>
      <c r="L4" s="3">
        <f>K4/I4*100</f>
        <v>8.2214765100671148</v>
      </c>
      <c r="M4" s="3">
        <f>K4/J4*100</f>
        <v>7.5968992248062017</v>
      </c>
      <c r="O4" s="3">
        <v>389</v>
      </c>
      <c r="P4" s="3">
        <v>389</v>
      </c>
      <c r="Q4" s="3">
        <v>395</v>
      </c>
      <c r="R4" s="3">
        <v>395</v>
      </c>
      <c r="S4" s="3">
        <v>418</v>
      </c>
      <c r="T4" s="3">
        <v>385</v>
      </c>
      <c r="U4" s="3">
        <v>404</v>
      </c>
      <c r="V4" s="3">
        <v>428</v>
      </c>
      <c r="W4" s="3">
        <v>425</v>
      </c>
      <c r="X4" s="3">
        <v>376</v>
      </c>
      <c r="Y4" s="3">
        <v>386</v>
      </c>
      <c r="Z4" s="3">
        <v>394</v>
      </c>
      <c r="AA4" s="3">
        <v>437</v>
      </c>
      <c r="AB4" s="3">
        <v>401</v>
      </c>
      <c r="AC4" s="3">
        <v>432</v>
      </c>
      <c r="AD4" s="3">
        <v>357</v>
      </c>
      <c r="AE4" s="3">
        <v>405</v>
      </c>
      <c r="AF4" s="3">
        <v>424</v>
      </c>
      <c r="AG4" s="3">
        <v>400</v>
      </c>
      <c r="AH4" s="3">
        <v>393</v>
      </c>
      <c r="AI4" s="3">
        <v>383</v>
      </c>
      <c r="AJ4" s="3">
        <v>407</v>
      </c>
      <c r="AK4" s="3">
        <v>405</v>
      </c>
      <c r="AL4" s="3">
        <v>423</v>
      </c>
      <c r="AM4" s="3">
        <v>410</v>
      </c>
      <c r="AN4" s="3">
        <v>404</v>
      </c>
      <c r="AO4" s="3">
        <v>397</v>
      </c>
      <c r="AP4" s="3">
        <v>415</v>
      </c>
      <c r="AQ4" s="3">
        <v>412</v>
      </c>
      <c r="AR4" s="3">
        <v>403</v>
      </c>
      <c r="AS4" s="3">
        <v>381</v>
      </c>
      <c r="AT4" s="3">
        <v>421</v>
      </c>
      <c r="AU4" s="3">
        <v>432</v>
      </c>
      <c r="AW4" s="3">
        <f>MIN(O4:AU4)</f>
        <v>357</v>
      </c>
      <c r="AX4" s="3">
        <f>MAX(O4:AU4)</f>
        <v>437</v>
      </c>
      <c r="AY4" s="3">
        <f>AX4-AW4</f>
        <v>80</v>
      </c>
      <c r="AZ4" s="3">
        <f>AY4/AW4*100</f>
        <v>22.408963585434176</v>
      </c>
      <c r="BA4" s="3">
        <f>AY4/AX4*100</f>
        <v>18.306636155606405</v>
      </c>
    </row>
    <row r="5" spans="1:53" x14ac:dyDescent="0.15">
      <c r="A5" s="4" t="s">
        <v>15</v>
      </c>
      <c r="B5" s="3">
        <v>42900</v>
      </c>
      <c r="C5" s="3">
        <v>43100</v>
      </c>
      <c r="D5" s="3">
        <v>44400</v>
      </c>
      <c r="E5" s="3">
        <v>42200</v>
      </c>
      <c r="F5" s="3">
        <v>41000</v>
      </c>
      <c r="G5" s="3">
        <v>41900</v>
      </c>
      <c r="I5" s="3">
        <f>MIN(B5:G5)</f>
        <v>41000</v>
      </c>
      <c r="J5" s="3">
        <f>MAX(B5:G5)</f>
        <v>44400</v>
      </c>
      <c r="K5" s="3">
        <f>J5-I5</f>
        <v>3400</v>
      </c>
      <c r="L5" s="3">
        <f>K5/I5*100</f>
        <v>8.2926829268292686</v>
      </c>
      <c r="M5" s="3">
        <f>K5/J5*100</f>
        <v>7.6576576576576567</v>
      </c>
      <c r="O5" s="3">
        <v>399</v>
      </c>
      <c r="P5" s="3">
        <v>399</v>
      </c>
      <c r="Q5" s="3">
        <v>403</v>
      </c>
      <c r="R5" s="3">
        <v>404</v>
      </c>
      <c r="S5" s="3">
        <v>422</v>
      </c>
      <c r="T5" s="3">
        <v>385</v>
      </c>
      <c r="U5" s="3">
        <v>409</v>
      </c>
      <c r="V5" s="3">
        <v>431</v>
      </c>
      <c r="W5" s="3">
        <v>429</v>
      </c>
      <c r="X5" s="3">
        <v>385</v>
      </c>
      <c r="Y5" s="3">
        <v>390</v>
      </c>
      <c r="Z5" s="3">
        <v>395</v>
      </c>
      <c r="AA5" s="3">
        <v>442</v>
      </c>
      <c r="AB5" s="3">
        <v>405</v>
      </c>
      <c r="AC5" s="3">
        <v>434</v>
      </c>
      <c r="AD5" s="3">
        <v>362</v>
      </c>
      <c r="AE5" s="3">
        <v>403</v>
      </c>
      <c r="AF5" s="3">
        <v>431</v>
      </c>
      <c r="AG5" s="3">
        <v>404</v>
      </c>
      <c r="AH5" s="3">
        <v>391</v>
      </c>
      <c r="AI5" s="3">
        <v>386</v>
      </c>
      <c r="AJ5" s="3">
        <v>409</v>
      </c>
      <c r="AK5" s="3">
        <v>409</v>
      </c>
      <c r="AL5" s="3">
        <v>439</v>
      </c>
      <c r="AM5" s="3">
        <v>419</v>
      </c>
      <c r="AN5" s="3">
        <v>415</v>
      </c>
      <c r="AO5" s="3">
        <v>395</v>
      </c>
      <c r="AP5" s="3">
        <v>415</v>
      </c>
      <c r="AQ5" s="3">
        <v>418</v>
      </c>
      <c r="AR5" s="3">
        <v>409</v>
      </c>
      <c r="AS5" s="3">
        <v>379</v>
      </c>
      <c r="AT5" s="3">
        <v>425</v>
      </c>
      <c r="AU5" s="3">
        <v>446</v>
      </c>
      <c r="AW5" s="3">
        <f>MIN(O5:AU5)</f>
        <v>362</v>
      </c>
      <c r="AX5" s="3">
        <f>MAX(O5:AU5)</f>
        <v>446</v>
      </c>
      <c r="AY5" s="3">
        <f>AX5-AW5</f>
        <v>84</v>
      </c>
      <c r="AZ5" s="3">
        <f>AY5/AW5*100</f>
        <v>23.204419889502763</v>
      </c>
      <c r="BA5" s="3">
        <f>AY5/AX5*100</f>
        <v>18.834080717488789</v>
      </c>
    </row>
    <row r="6" spans="1:53" x14ac:dyDescent="0.15">
      <c r="A6" s="4" t="s">
        <v>16</v>
      </c>
      <c r="B6" s="3">
        <v>7208</v>
      </c>
      <c r="C6" s="3">
        <v>7246</v>
      </c>
      <c r="D6" s="3">
        <v>7474</v>
      </c>
      <c r="E6" s="3">
        <v>6957</v>
      </c>
      <c r="F6" s="3">
        <v>6501</v>
      </c>
      <c r="G6" s="3">
        <v>7255</v>
      </c>
      <c r="I6" s="3">
        <f>MIN(B6:G6)</f>
        <v>6501</v>
      </c>
      <c r="J6" s="3">
        <f>MAX(B6:G6)</f>
        <v>7474</v>
      </c>
      <c r="K6" s="3">
        <f>J6-I6</f>
        <v>973</v>
      </c>
      <c r="L6" s="3">
        <f>K6/I6*100</f>
        <v>14.966928164897709</v>
      </c>
      <c r="M6" s="3">
        <f>K6/J6*100</f>
        <v>13.018464008563019</v>
      </c>
      <c r="O6" s="3">
        <v>401</v>
      </c>
      <c r="P6" s="3">
        <v>383</v>
      </c>
      <c r="Q6" s="3">
        <v>390</v>
      </c>
      <c r="R6" s="3">
        <v>402</v>
      </c>
      <c r="S6" s="3">
        <v>410</v>
      </c>
      <c r="T6" s="3">
        <v>375</v>
      </c>
      <c r="U6" s="3">
        <v>412</v>
      </c>
      <c r="V6" s="3">
        <v>425</v>
      </c>
      <c r="W6" s="3">
        <v>424</v>
      </c>
      <c r="X6" s="3">
        <v>396</v>
      </c>
      <c r="Y6" s="3">
        <v>398</v>
      </c>
      <c r="Z6" s="3">
        <v>384</v>
      </c>
      <c r="AA6" s="3">
        <v>432</v>
      </c>
      <c r="AB6" s="3">
        <v>398</v>
      </c>
      <c r="AC6" s="3">
        <v>444</v>
      </c>
      <c r="AD6" s="3">
        <v>371</v>
      </c>
      <c r="AE6" s="3">
        <v>397</v>
      </c>
      <c r="AF6" s="3">
        <v>427</v>
      </c>
      <c r="AG6" s="3">
        <v>401</v>
      </c>
      <c r="AH6" s="3">
        <v>398</v>
      </c>
      <c r="AI6" s="3">
        <v>377</v>
      </c>
      <c r="AJ6" s="3">
        <v>395</v>
      </c>
      <c r="AK6" s="3">
        <v>399</v>
      </c>
      <c r="AL6" s="3">
        <v>430</v>
      </c>
      <c r="AM6" s="3">
        <v>411</v>
      </c>
      <c r="AN6" s="3">
        <v>404</v>
      </c>
      <c r="AO6" s="3">
        <v>397</v>
      </c>
      <c r="AP6" s="3">
        <v>408</v>
      </c>
      <c r="AQ6" s="3">
        <v>404</v>
      </c>
      <c r="AR6" s="3">
        <v>410</v>
      </c>
      <c r="AS6" s="3">
        <v>376</v>
      </c>
      <c r="AT6" s="3">
        <v>408</v>
      </c>
      <c r="AU6" s="3">
        <v>450</v>
      </c>
      <c r="AW6" s="3">
        <f>MIN(O6:AU6)</f>
        <v>371</v>
      </c>
      <c r="AX6" s="3">
        <f>MAX(O6:AU6)</f>
        <v>450</v>
      </c>
      <c r="AY6" s="3">
        <f>AX6-AW6</f>
        <v>79</v>
      </c>
      <c r="AZ6" s="3">
        <f>AY6/AW6*100</f>
        <v>21.293800539083556</v>
      </c>
      <c r="BA6" s="3">
        <f>AY6/AX6*100</f>
        <v>17.555555555555554</v>
      </c>
    </row>
    <row r="16" spans="1:53" x14ac:dyDescent="0.15">
      <c r="A16" s="1" t="s">
        <v>0</v>
      </c>
      <c r="B16" s="2" t="s">
        <v>1</v>
      </c>
      <c r="C16" s="2" t="s">
        <v>2</v>
      </c>
      <c r="D16" s="2" t="s">
        <v>1</v>
      </c>
      <c r="E16" s="2" t="s">
        <v>2</v>
      </c>
      <c r="F16" s="2" t="s">
        <v>1</v>
      </c>
      <c r="G16" s="2" t="s">
        <v>2</v>
      </c>
      <c r="H16" s="2"/>
      <c r="I16" s="2"/>
      <c r="J16" s="2"/>
      <c r="K16" s="2"/>
      <c r="L16" s="2"/>
      <c r="M16" s="2"/>
      <c r="N16" s="2"/>
      <c r="O16" s="2" t="s">
        <v>3</v>
      </c>
      <c r="P16" s="2" t="s">
        <v>4</v>
      </c>
      <c r="Q16" s="2" t="s">
        <v>5</v>
      </c>
      <c r="R16" s="2" t="s">
        <v>6</v>
      </c>
      <c r="S16" s="2" t="s">
        <v>7</v>
      </c>
      <c r="T16" s="2" t="s">
        <v>8</v>
      </c>
      <c r="U16" s="2" t="s">
        <v>9</v>
      </c>
      <c r="V16" s="2" t="s">
        <v>10</v>
      </c>
      <c r="W16" s="2" t="s">
        <v>11</v>
      </c>
      <c r="X16" s="2" t="s">
        <v>12</v>
      </c>
      <c r="Y16" s="2" t="s">
        <v>13</v>
      </c>
      <c r="Z16" s="2" t="s">
        <v>3</v>
      </c>
      <c r="AA16" s="2" t="s">
        <v>4</v>
      </c>
      <c r="AB16" s="2" t="s">
        <v>5</v>
      </c>
      <c r="AC16" s="2" t="s">
        <v>6</v>
      </c>
      <c r="AD16" s="2" t="s">
        <v>7</v>
      </c>
      <c r="AE16" s="2" t="s">
        <v>8</v>
      </c>
      <c r="AF16" s="2" t="s">
        <v>9</v>
      </c>
      <c r="AG16" s="2" t="s">
        <v>10</v>
      </c>
      <c r="AH16" s="2" t="s">
        <v>11</v>
      </c>
      <c r="AI16" s="2" t="s">
        <v>12</v>
      </c>
      <c r="AJ16" s="2" t="s">
        <v>13</v>
      </c>
      <c r="AK16" s="2" t="s">
        <v>3</v>
      </c>
      <c r="AL16" s="2" t="s">
        <v>4</v>
      </c>
      <c r="AM16" s="2" t="s">
        <v>5</v>
      </c>
      <c r="AN16" s="2" t="s">
        <v>6</v>
      </c>
      <c r="AO16" s="2" t="s">
        <v>7</v>
      </c>
      <c r="AP16" s="2" t="s">
        <v>8</v>
      </c>
      <c r="AQ16" s="2" t="s">
        <v>9</v>
      </c>
      <c r="AR16" s="2" t="s">
        <v>10</v>
      </c>
      <c r="AS16" s="2" t="s">
        <v>11</v>
      </c>
      <c r="AT16" s="2" t="s">
        <v>12</v>
      </c>
      <c r="AU16" s="2" t="s">
        <v>13</v>
      </c>
      <c r="AV16" s="2"/>
      <c r="AW16" s="2"/>
      <c r="AX16" s="2"/>
      <c r="AY16" s="2"/>
      <c r="AZ16" s="2"/>
      <c r="BA16" s="2"/>
    </row>
    <row r="17" spans="1:53" x14ac:dyDescent="0.15">
      <c r="A17" s="1" t="s">
        <v>20</v>
      </c>
      <c r="B17" s="3">
        <v>79000</v>
      </c>
      <c r="C17" s="3">
        <v>80200</v>
      </c>
      <c r="D17" s="3">
        <v>79700</v>
      </c>
      <c r="E17" s="3">
        <v>77700</v>
      </c>
      <c r="F17" s="3">
        <v>80100</v>
      </c>
      <c r="G17" s="3">
        <v>77000</v>
      </c>
      <c r="I17" s="3">
        <f>MIN(B17:G17)</f>
        <v>77000</v>
      </c>
      <c r="J17" s="3">
        <f>MAX(B17:G17)</f>
        <v>80200</v>
      </c>
      <c r="K17" s="3">
        <f>J17-I17</f>
        <v>3200</v>
      </c>
      <c r="L17" s="3">
        <f>K17/I17*100</f>
        <v>4.1558441558441555</v>
      </c>
      <c r="M17" s="3">
        <f>K17/J17*100</f>
        <v>3.9900249376558601</v>
      </c>
      <c r="O17" s="3">
        <v>514</v>
      </c>
      <c r="P17" s="3">
        <v>517</v>
      </c>
      <c r="Q17" s="3">
        <v>515</v>
      </c>
      <c r="R17" s="3">
        <v>519</v>
      </c>
      <c r="S17" s="3">
        <v>521</v>
      </c>
      <c r="T17" s="3">
        <v>516</v>
      </c>
      <c r="U17" s="3">
        <v>517</v>
      </c>
      <c r="V17" s="3">
        <v>521</v>
      </c>
      <c r="W17" s="3">
        <v>518</v>
      </c>
      <c r="X17" s="3">
        <v>491</v>
      </c>
      <c r="Y17" s="3">
        <v>496</v>
      </c>
      <c r="Z17" s="3">
        <v>519</v>
      </c>
      <c r="AA17" s="3">
        <v>508</v>
      </c>
      <c r="AB17" s="3">
        <v>515</v>
      </c>
      <c r="AC17" s="3">
        <v>520</v>
      </c>
      <c r="AD17" s="3">
        <v>514</v>
      </c>
      <c r="AE17" s="3">
        <v>518</v>
      </c>
      <c r="AF17" s="3">
        <v>518</v>
      </c>
      <c r="AG17" s="3">
        <v>520</v>
      </c>
      <c r="AH17" s="3">
        <v>517</v>
      </c>
      <c r="AI17" s="3">
        <v>518</v>
      </c>
      <c r="AJ17" s="3">
        <v>516</v>
      </c>
      <c r="AK17" s="3">
        <v>518</v>
      </c>
      <c r="AL17" s="3">
        <v>510</v>
      </c>
      <c r="AM17" s="3">
        <v>521</v>
      </c>
      <c r="AN17" s="3">
        <v>517</v>
      </c>
      <c r="AO17" s="3">
        <v>518</v>
      </c>
      <c r="AP17" s="3">
        <v>513</v>
      </c>
      <c r="AQ17" s="3">
        <v>519</v>
      </c>
      <c r="AR17" s="3">
        <v>514</v>
      </c>
      <c r="AS17" s="3">
        <v>517</v>
      </c>
      <c r="AT17" s="3">
        <v>519</v>
      </c>
      <c r="AU17" s="3">
        <v>500</v>
      </c>
      <c r="AW17" s="3">
        <f>MIN(O17:AU17)</f>
        <v>491</v>
      </c>
      <c r="AX17" s="3">
        <f>MAX(O17:AU17)</f>
        <v>521</v>
      </c>
      <c r="AY17" s="3">
        <f>AX17-AW17</f>
        <v>30</v>
      </c>
      <c r="AZ17" s="3">
        <f>AY17/AW17*100</f>
        <v>6.1099796334012222</v>
      </c>
      <c r="BA17" s="3">
        <f>AY17/AX17*100</f>
        <v>5.7581573896353166</v>
      </c>
    </row>
    <row r="18" spans="1:53" x14ac:dyDescent="0.15">
      <c r="A18" s="1" t="s">
        <v>21</v>
      </c>
      <c r="B18" s="3">
        <v>49100</v>
      </c>
      <c r="C18" s="3">
        <v>49100</v>
      </c>
      <c r="D18" s="3">
        <v>49400</v>
      </c>
      <c r="E18" s="3">
        <v>47500</v>
      </c>
      <c r="F18" s="3">
        <v>48700</v>
      </c>
      <c r="G18" s="3">
        <v>48900</v>
      </c>
      <c r="I18" s="3">
        <f>MIN(B18:G18)</f>
        <v>47500</v>
      </c>
      <c r="J18" s="3">
        <f>MAX(B18:G18)</f>
        <v>49400</v>
      </c>
      <c r="K18" s="3">
        <f>J18-I18</f>
        <v>1900</v>
      </c>
      <c r="L18" s="3">
        <f>K18/I18*100</f>
        <v>4</v>
      </c>
      <c r="M18" s="3">
        <f>K18/J18*100</f>
        <v>3.8461538461538463</v>
      </c>
      <c r="O18" s="3">
        <v>511</v>
      </c>
      <c r="P18" s="3">
        <v>513</v>
      </c>
      <c r="Q18" s="3">
        <v>511</v>
      </c>
      <c r="R18" s="3">
        <v>517</v>
      </c>
      <c r="S18" s="3">
        <v>516</v>
      </c>
      <c r="T18" s="3">
        <v>515</v>
      </c>
      <c r="U18" s="3">
        <v>514</v>
      </c>
      <c r="V18" s="3">
        <v>519</v>
      </c>
      <c r="W18" s="3">
        <v>516</v>
      </c>
      <c r="X18" s="3">
        <v>487</v>
      </c>
      <c r="Y18" s="3">
        <v>494</v>
      </c>
      <c r="Z18" s="3">
        <v>514</v>
      </c>
      <c r="AA18" s="3">
        <v>506</v>
      </c>
      <c r="AB18" s="3">
        <v>510</v>
      </c>
      <c r="AC18" s="3">
        <v>518</v>
      </c>
      <c r="AD18" s="3">
        <v>512</v>
      </c>
      <c r="AE18" s="3">
        <v>513</v>
      </c>
      <c r="AF18" s="3">
        <v>516</v>
      </c>
      <c r="AG18" s="3">
        <v>517</v>
      </c>
      <c r="AH18" s="3">
        <v>515</v>
      </c>
      <c r="AI18" s="3">
        <v>516</v>
      </c>
      <c r="AJ18" s="3">
        <v>513</v>
      </c>
      <c r="AK18" s="3">
        <v>514</v>
      </c>
      <c r="AL18" s="3">
        <v>507</v>
      </c>
      <c r="AM18" s="3">
        <v>518</v>
      </c>
      <c r="AN18" s="3">
        <v>513</v>
      </c>
      <c r="AO18" s="3">
        <v>518</v>
      </c>
      <c r="AP18" s="3">
        <v>512</v>
      </c>
      <c r="AQ18" s="3">
        <v>518</v>
      </c>
      <c r="AR18" s="3">
        <v>511</v>
      </c>
      <c r="AS18" s="3">
        <v>515</v>
      </c>
      <c r="AT18" s="3">
        <v>514</v>
      </c>
      <c r="AU18" s="3">
        <v>496</v>
      </c>
      <c r="AW18" s="3">
        <f>MIN(O18:AU18)</f>
        <v>487</v>
      </c>
      <c r="AX18" s="3">
        <f>MAX(O18:AU18)</f>
        <v>519</v>
      </c>
      <c r="AY18" s="3">
        <f>AX18-AW18</f>
        <v>32</v>
      </c>
      <c r="AZ18" s="3">
        <f>AY18/AW18*100</f>
        <v>6.5708418891170437</v>
      </c>
      <c r="BA18" s="3">
        <f>AY18/AX18*100</f>
        <v>6.1657032755298653</v>
      </c>
    </row>
    <row r="19" spans="1:53" x14ac:dyDescent="0.15">
      <c r="A19" s="1" t="s">
        <v>22</v>
      </c>
      <c r="B19" s="3">
        <v>8224</v>
      </c>
      <c r="C19" s="3">
        <v>8212</v>
      </c>
      <c r="D19" s="3">
        <v>8114</v>
      </c>
      <c r="E19" s="3">
        <v>8000</v>
      </c>
      <c r="F19" s="3">
        <v>8015</v>
      </c>
      <c r="G19" s="3">
        <v>8229</v>
      </c>
      <c r="I19" s="3">
        <f>MIN(B19:G19)</f>
        <v>8000</v>
      </c>
      <c r="J19" s="3">
        <f>MAX(B19:G19)</f>
        <v>8229</v>
      </c>
      <c r="K19" s="3">
        <f>J19-I19</f>
        <v>229</v>
      </c>
      <c r="L19" s="3">
        <f>K19/I19*100</f>
        <v>2.8625000000000003</v>
      </c>
      <c r="M19" s="3">
        <f>K19/J19*100</f>
        <v>2.7828411714667638</v>
      </c>
      <c r="O19" s="3">
        <v>464</v>
      </c>
      <c r="P19" s="3">
        <v>465</v>
      </c>
      <c r="Q19" s="3">
        <v>463</v>
      </c>
      <c r="R19" s="3">
        <v>471</v>
      </c>
      <c r="S19" s="3">
        <v>471</v>
      </c>
      <c r="T19" s="3">
        <v>469</v>
      </c>
      <c r="U19" s="3">
        <v>470</v>
      </c>
      <c r="V19" s="3">
        <v>475</v>
      </c>
      <c r="W19" s="3">
        <v>462</v>
      </c>
      <c r="X19" s="3">
        <v>439</v>
      </c>
      <c r="Y19" s="3">
        <v>446</v>
      </c>
      <c r="Z19" s="3">
        <v>457</v>
      </c>
      <c r="AA19" s="3">
        <v>465</v>
      </c>
      <c r="AB19" s="3">
        <v>458</v>
      </c>
      <c r="AC19" s="3">
        <v>471</v>
      </c>
      <c r="AD19" s="3">
        <v>454</v>
      </c>
      <c r="AE19" s="3">
        <v>464</v>
      </c>
      <c r="AF19" s="3">
        <v>467</v>
      </c>
      <c r="AG19" s="3">
        <v>472</v>
      </c>
      <c r="AH19" s="3">
        <v>469</v>
      </c>
      <c r="AI19" s="3">
        <v>462</v>
      </c>
      <c r="AJ19" s="3">
        <v>462</v>
      </c>
      <c r="AK19" s="3">
        <v>466</v>
      </c>
      <c r="AL19" s="3">
        <v>461</v>
      </c>
      <c r="AM19" s="3">
        <v>470</v>
      </c>
      <c r="AN19" s="3">
        <v>465</v>
      </c>
      <c r="AO19" s="3">
        <v>470</v>
      </c>
      <c r="AP19" s="3">
        <v>469</v>
      </c>
      <c r="AQ19" s="3">
        <v>468</v>
      </c>
      <c r="AR19" s="3">
        <v>462</v>
      </c>
      <c r="AS19" s="3">
        <v>467</v>
      </c>
      <c r="AT19" s="3">
        <v>463</v>
      </c>
      <c r="AU19" s="3">
        <v>456</v>
      </c>
      <c r="AW19" s="3">
        <f>MIN(O19:AU19)</f>
        <v>439</v>
      </c>
      <c r="AX19" s="3">
        <f>MAX(O19:AU19)</f>
        <v>475</v>
      </c>
      <c r="AY19" s="3">
        <f>AX19-AW19</f>
        <v>36</v>
      </c>
      <c r="AZ19" s="3">
        <f>AY19/AW19*100</f>
        <v>8.2004555808656043</v>
      </c>
      <c r="BA19" s="3">
        <f>AY19/AX19*100</f>
        <v>7.5789473684210531</v>
      </c>
    </row>
    <row r="26" spans="1:53" x14ac:dyDescent="0.15">
      <c r="A26" s="1" t="s">
        <v>0</v>
      </c>
      <c r="B26" s="2" t="s">
        <v>1</v>
      </c>
      <c r="C26" s="2" t="s">
        <v>2</v>
      </c>
      <c r="D26" s="2" t="s">
        <v>1</v>
      </c>
      <c r="E26" s="2" t="s">
        <v>2</v>
      </c>
      <c r="F26" s="2" t="s">
        <v>1</v>
      </c>
      <c r="G26" s="2" t="s">
        <v>2</v>
      </c>
      <c r="H26" s="2"/>
      <c r="I26" s="2"/>
      <c r="J26" s="2"/>
      <c r="K26" s="2"/>
      <c r="L26" s="2"/>
      <c r="M26" s="2"/>
      <c r="N26" s="2"/>
      <c r="O26" s="2" t="s">
        <v>3</v>
      </c>
      <c r="P26" s="2" t="s">
        <v>4</v>
      </c>
      <c r="Q26" s="2" t="s">
        <v>5</v>
      </c>
      <c r="R26" s="2" t="s">
        <v>6</v>
      </c>
      <c r="S26" s="2" t="s">
        <v>7</v>
      </c>
      <c r="T26" s="2" t="s">
        <v>8</v>
      </c>
      <c r="U26" s="2" t="s">
        <v>9</v>
      </c>
      <c r="V26" s="2" t="s">
        <v>10</v>
      </c>
      <c r="W26" s="2" t="s">
        <v>11</v>
      </c>
      <c r="X26" s="2" t="s">
        <v>12</v>
      </c>
      <c r="Y26" s="2" t="s">
        <v>13</v>
      </c>
      <c r="Z26" s="2" t="s">
        <v>3</v>
      </c>
      <c r="AA26" s="2" t="s">
        <v>4</v>
      </c>
      <c r="AB26" s="2" t="s">
        <v>5</v>
      </c>
      <c r="AC26" s="2" t="s">
        <v>6</v>
      </c>
      <c r="AD26" s="2" t="s">
        <v>7</v>
      </c>
      <c r="AE26" s="2" t="s">
        <v>8</v>
      </c>
      <c r="AF26" s="2" t="s">
        <v>9</v>
      </c>
      <c r="AG26" s="2" t="s">
        <v>10</v>
      </c>
      <c r="AH26" s="2" t="s">
        <v>11</v>
      </c>
      <c r="AI26" s="2" t="s">
        <v>12</v>
      </c>
      <c r="AJ26" s="2" t="s">
        <v>13</v>
      </c>
      <c r="AK26" s="2" t="s">
        <v>3</v>
      </c>
      <c r="AL26" s="2" t="s">
        <v>4</v>
      </c>
      <c r="AM26" s="2" t="s">
        <v>5</v>
      </c>
      <c r="AN26" s="2" t="s">
        <v>6</v>
      </c>
      <c r="AO26" s="2" t="s">
        <v>7</v>
      </c>
      <c r="AP26" s="2" t="s">
        <v>8</v>
      </c>
      <c r="AQ26" s="2" t="s">
        <v>9</v>
      </c>
      <c r="AR26" s="2" t="s">
        <v>10</v>
      </c>
      <c r="AS26" s="2" t="s">
        <v>11</v>
      </c>
      <c r="AT26" s="2" t="s">
        <v>12</v>
      </c>
      <c r="AU26" s="2" t="s">
        <v>13</v>
      </c>
      <c r="AV26" s="2"/>
      <c r="AW26" s="2"/>
      <c r="AX26" s="2"/>
      <c r="AY26" s="2"/>
      <c r="AZ26" s="2"/>
      <c r="BA26" s="2"/>
    </row>
    <row r="27" spans="1:53" x14ac:dyDescent="0.15">
      <c r="A27" s="1" t="s">
        <v>26</v>
      </c>
      <c r="B27" s="3">
        <v>7386</v>
      </c>
      <c r="C27" s="3">
        <v>7307</v>
      </c>
      <c r="D27" s="3">
        <v>7599</v>
      </c>
      <c r="E27" s="3">
        <v>7731</v>
      </c>
      <c r="F27" s="3">
        <v>7297</v>
      </c>
      <c r="G27" s="3">
        <v>6537</v>
      </c>
      <c r="I27" s="3">
        <f>MIN(B27:G27)</f>
        <v>6537</v>
      </c>
      <c r="J27" s="3">
        <f>MAX(B27:G27)</f>
        <v>7731</v>
      </c>
      <c r="K27" s="3">
        <f>J27-I27</f>
        <v>1194</v>
      </c>
      <c r="L27" s="3">
        <f>K27/I27*100</f>
        <v>18.265259293253784</v>
      </c>
      <c r="M27" s="3">
        <f>K27/J27*100</f>
        <v>15.44431509507179</v>
      </c>
      <c r="O27" s="3">
        <v>3201</v>
      </c>
      <c r="P27" s="3">
        <v>3170</v>
      </c>
      <c r="Q27" s="3">
        <v>3104</v>
      </c>
      <c r="R27" s="3">
        <v>3281</v>
      </c>
      <c r="S27" s="3">
        <v>3173</v>
      </c>
      <c r="T27" s="3">
        <v>3138</v>
      </c>
      <c r="U27" s="3">
        <v>3215</v>
      </c>
      <c r="V27" s="3">
        <v>3292</v>
      </c>
      <c r="W27" s="3">
        <v>3213</v>
      </c>
      <c r="X27" s="3">
        <v>3133</v>
      </c>
      <c r="Y27" s="3">
        <v>3172</v>
      </c>
      <c r="Z27" s="3">
        <v>3129</v>
      </c>
      <c r="AA27" s="3">
        <v>3150</v>
      </c>
      <c r="AB27" s="3">
        <v>3129</v>
      </c>
      <c r="AC27" s="3">
        <v>3253</v>
      </c>
      <c r="AD27" s="3">
        <v>3007</v>
      </c>
      <c r="AE27" s="3">
        <v>3079</v>
      </c>
      <c r="AF27" s="3">
        <v>3186</v>
      </c>
      <c r="AG27" s="3">
        <v>3287</v>
      </c>
      <c r="AH27" s="3">
        <v>3217</v>
      </c>
      <c r="AI27" s="3">
        <v>3263</v>
      </c>
      <c r="AJ27" s="3">
        <v>3122</v>
      </c>
      <c r="AK27" s="3">
        <v>3127</v>
      </c>
      <c r="AL27" s="3">
        <v>3148</v>
      </c>
      <c r="AM27" s="3">
        <v>3131</v>
      </c>
      <c r="AN27" s="3">
        <v>3144</v>
      </c>
      <c r="AO27" s="3">
        <v>3129</v>
      </c>
      <c r="AP27" s="3">
        <v>3291</v>
      </c>
      <c r="AQ27" s="3">
        <v>3215</v>
      </c>
      <c r="AR27" s="3">
        <v>3079</v>
      </c>
      <c r="AS27" s="3">
        <v>3175</v>
      </c>
      <c r="AT27" s="3">
        <v>3161</v>
      </c>
      <c r="AU27" s="3">
        <v>3110</v>
      </c>
      <c r="AW27" s="3">
        <f>MIN(O27:AU27)</f>
        <v>3007</v>
      </c>
      <c r="AX27" s="3">
        <f>MAX(O27:AU27)</f>
        <v>3292</v>
      </c>
      <c r="AY27" s="3">
        <f>AX27-AW27</f>
        <v>285</v>
      </c>
      <c r="AZ27" s="3">
        <f>AY27/AW27*100</f>
        <v>9.4778849351513141</v>
      </c>
      <c r="BA27" s="3">
        <f>AY27/AX27*100</f>
        <v>8.6573511543134885</v>
      </c>
    </row>
    <row r="28" spans="1:53" x14ac:dyDescent="0.15">
      <c r="A28" s="1" t="s">
        <v>27</v>
      </c>
      <c r="B28" s="3">
        <v>933</v>
      </c>
      <c r="C28" s="3">
        <v>923</v>
      </c>
      <c r="D28" s="3">
        <v>967</v>
      </c>
      <c r="E28" s="3">
        <v>979</v>
      </c>
      <c r="F28" s="3">
        <v>928</v>
      </c>
      <c r="G28" s="3">
        <v>826</v>
      </c>
      <c r="I28" s="3">
        <f>MIN(B28:G28)</f>
        <v>826</v>
      </c>
      <c r="J28" s="3">
        <f>MAX(B28:G28)</f>
        <v>979</v>
      </c>
      <c r="K28" s="3">
        <f>J28-I28</f>
        <v>153</v>
      </c>
      <c r="L28" s="3">
        <f>K28/I28*100</f>
        <v>18.523002421307506</v>
      </c>
      <c r="M28" s="3">
        <f>K28/J28*100</f>
        <v>15.628192032686414</v>
      </c>
      <c r="O28" s="3">
        <v>405</v>
      </c>
      <c r="P28" s="3">
        <v>402</v>
      </c>
      <c r="Q28" s="3">
        <v>391</v>
      </c>
      <c r="R28" s="3">
        <v>410</v>
      </c>
      <c r="S28" s="3">
        <v>400</v>
      </c>
      <c r="T28" s="3">
        <v>396</v>
      </c>
      <c r="U28" s="3">
        <v>404</v>
      </c>
      <c r="V28" s="3">
        <v>410</v>
      </c>
      <c r="W28" s="3">
        <v>403</v>
      </c>
      <c r="X28" s="3">
        <v>390</v>
      </c>
      <c r="Y28" s="3">
        <v>396</v>
      </c>
      <c r="Z28" s="3">
        <v>380</v>
      </c>
      <c r="AA28" s="3">
        <v>395</v>
      </c>
      <c r="AB28" s="3">
        <v>353</v>
      </c>
      <c r="AC28" s="3">
        <v>409</v>
      </c>
      <c r="AD28" s="3">
        <v>383</v>
      </c>
      <c r="AE28" s="3">
        <v>388</v>
      </c>
      <c r="AF28" s="3">
        <v>397</v>
      </c>
      <c r="AG28" s="3">
        <v>413</v>
      </c>
      <c r="AH28" s="3">
        <v>402</v>
      </c>
      <c r="AI28" s="3">
        <v>370</v>
      </c>
      <c r="AJ28" s="3">
        <v>389</v>
      </c>
      <c r="AK28" s="3">
        <v>393</v>
      </c>
      <c r="AL28" s="3">
        <v>396</v>
      </c>
      <c r="AM28" s="3">
        <v>396</v>
      </c>
      <c r="AN28" s="3">
        <v>393</v>
      </c>
      <c r="AO28" s="3">
        <v>396</v>
      </c>
      <c r="AP28" s="3">
        <v>380</v>
      </c>
      <c r="AQ28" s="3">
        <v>396</v>
      </c>
      <c r="AR28" s="3">
        <v>379</v>
      </c>
      <c r="AS28" s="3">
        <v>396</v>
      </c>
      <c r="AT28" s="3">
        <v>393</v>
      </c>
      <c r="AU28" s="3">
        <v>387</v>
      </c>
      <c r="AW28" s="3">
        <f>MIN(O28:AU28)</f>
        <v>353</v>
      </c>
      <c r="AX28" s="3">
        <f>MAX(O28:AU28)</f>
        <v>413</v>
      </c>
      <c r="AY28" s="3">
        <f>AX28-AW28</f>
        <v>60</v>
      </c>
      <c r="AZ28" s="3">
        <f>AY28/AW28*100</f>
        <v>16.997167138810198</v>
      </c>
      <c r="BA28" s="3">
        <f>AY28/AX28*100</f>
        <v>14.527845036319611</v>
      </c>
    </row>
    <row r="29" spans="1:53" x14ac:dyDescent="0.15">
      <c r="A29" s="1" t="s">
        <v>28</v>
      </c>
      <c r="B29" s="3">
        <v>462</v>
      </c>
      <c r="C29" s="3">
        <v>465</v>
      </c>
      <c r="D29" s="3">
        <v>481</v>
      </c>
      <c r="E29" s="3">
        <v>492</v>
      </c>
      <c r="F29" s="3">
        <v>466</v>
      </c>
      <c r="G29" s="3">
        <v>411</v>
      </c>
      <c r="I29" s="3">
        <f>MIN(B29:G29)</f>
        <v>411</v>
      </c>
      <c r="J29" s="3">
        <f>MAX(B29:G29)</f>
        <v>492</v>
      </c>
      <c r="K29" s="3">
        <f>J29-I29</f>
        <v>81</v>
      </c>
      <c r="L29" s="3">
        <f>K29/I29*100</f>
        <v>19.708029197080293</v>
      </c>
      <c r="M29" s="3">
        <f>K29/J29*100</f>
        <v>16.463414634146343</v>
      </c>
      <c r="O29" s="3">
        <v>199</v>
      </c>
      <c r="P29" s="3">
        <v>197</v>
      </c>
      <c r="Q29" s="3">
        <v>194</v>
      </c>
      <c r="R29" s="3">
        <v>207</v>
      </c>
      <c r="S29" s="3">
        <v>200</v>
      </c>
      <c r="T29" s="3">
        <v>195</v>
      </c>
      <c r="U29" s="3">
        <v>187</v>
      </c>
      <c r="V29" s="3">
        <v>206</v>
      </c>
      <c r="W29" s="3">
        <v>201</v>
      </c>
      <c r="X29" s="3">
        <v>196</v>
      </c>
      <c r="Y29" s="3">
        <v>199</v>
      </c>
      <c r="Z29" s="3">
        <v>195</v>
      </c>
      <c r="AA29" s="3">
        <v>197</v>
      </c>
      <c r="AB29" s="3">
        <v>195</v>
      </c>
      <c r="AC29" s="3">
        <v>203</v>
      </c>
      <c r="AD29" s="3">
        <v>187</v>
      </c>
      <c r="AE29" s="3">
        <v>190</v>
      </c>
      <c r="AF29" s="3">
        <v>199</v>
      </c>
      <c r="AG29" s="3">
        <v>206</v>
      </c>
      <c r="AH29" s="3">
        <v>201</v>
      </c>
      <c r="AI29" s="3">
        <v>202</v>
      </c>
      <c r="AJ29" s="3">
        <v>194</v>
      </c>
      <c r="AK29" s="3">
        <v>196</v>
      </c>
      <c r="AL29" s="3">
        <v>197</v>
      </c>
      <c r="AM29" s="3">
        <v>197</v>
      </c>
      <c r="AN29" s="3">
        <v>195</v>
      </c>
      <c r="AO29" s="3">
        <v>196</v>
      </c>
      <c r="AP29" s="3">
        <v>202</v>
      </c>
      <c r="AQ29" s="3">
        <v>201</v>
      </c>
      <c r="AR29" s="3">
        <v>193</v>
      </c>
      <c r="AS29" s="3">
        <v>198</v>
      </c>
      <c r="AT29" s="3">
        <v>198</v>
      </c>
      <c r="AU29" s="3">
        <v>195</v>
      </c>
      <c r="AW29" s="3">
        <f>MIN(O29:AU29)</f>
        <v>187</v>
      </c>
      <c r="AX29" s="3">
        <f>MAX(O29:AU29)</f>
        <v>207</v>
      </c>
      <c r="AY29" s="3">
        <f>AX29-AW29</f>
        <v>20</v>
      </c>
      <c r="AZ29" s="3">
        <f>AY29/AW29*100</f>
        <v>10.695187165775401</v>
      </c>
      <c r="BA29" s="3">
        <f>AY29/AX29*100</f>
        <v>9.6618357487922708</v>
      </c>
    </row>
    <row r="36" spans="1:53" x14ac:dyDescent="0.15">
      <c r="A36" s="1" t="s">
        <v>0</v>
      </c>
      <c r="B36" s="2" t="s">
        <v>1</v>
      </c>
      <c r="C36" s="2" t="s">
        <v>2</v>
      </c>
      <c r="D36" s="2" t="s">
        <v>1</v>
      </c>
      <c r="E36" s="2" t="s">
        <v>2</v>
      </c>
      <c r="F36" s="2" t="s">
        <v>1</v>
      </c>
      <c r="G36" s="2" t="s">
        <v>2</v>
      </c>
      <c r="H36" s="2"/>
      <c r="I36" s="2"/>
      <c r="J36" s="2"/>
      <c r="K36" s="2"/>
      <c r="L36" s="2"/>
      <c r="M36" s="2"/>
      <c r="N36" s="2"/>
      <c r="O36" s="2" t="s">
        <v>3</v>
      </c>
      <c r="P36" s="2" t="s">
        <v>4</v>
      </c>
      <c r="Q36" s="2" t="s">
        <v>5</v>
      </c>
      <c r="R36" s="2" t="s">
        <v>6</v>
      </c>
      <c r="S36" s="2" t="s">
        <v>7</v>
      </c>
      <c r="T36" s="2" t="s">
        <v>8</v>
      </c>
      <c r="U36" s="2" t="s">
        <v>9</v>
      </c>
      <c r="V36" s="2" t="s">
        <v>10</v>
      </c>
      <c r="W36" s="2" t="s">
        <v>11</v>
      </c>
      <c r="X36" s="2" t="s">
        <v>12</v>
      </c>
      <c r="Y36" s="2" t="s">
        <v>13</v>
      </c>
      <c r="Z36" s="2" t="s">
        <v>3</v>
      </c>
      <c r="AA36" s="2" t="s">
        <v>4</v>
      </c>
      <c r="AB36" s="2" t="s">
        <v>5</v>
      </c>
      <c r="AC36" s="2" t="s">
        <v>6</v>
      </c>
      <c r="AD36" s="2" t="s">
        <v>7</v>
      </c>
      <c r="AE36" s="2" t="s">
        <v>8</v>
      </c>
      <c r="AF36" s="2" t="s">
        <v>9</v>
      </c>
      <c r="AG36" s="2" t="s">
        <v>10</v>
      </c>
      <c r="AH36" s="2" t="s">
        <v>11</v>
      </c>
      <c r="AI36" s="2" t="s">
        <v>12</v>
      </c>
      <c r="AJ36" s="2" t="s">
        <v>13</v>
      </c>
      <c r="AK36" s="2" t="s">
        <v>3</v>
      </c>
      <c r="AL36" s="2" t="s">
        <v>4</v>
      </c>
      <c r="AM36" s="2" t="s">
        <v>5</v>
      </c>
      <c r="AN36" s="2" t="s">
        <v>6</v>
      </c>
      <c r="AO36" s="2" t="s">
        <v>7</v>
      </c>
      <c r="AP36" s="2" t="s">
        <v>8</v>
      </c>
      <c r="AQ36" s="2" t="s">
        <v>9</v>
      </c>
      <c r="AR36" s="2" t="s">
        <v>10</v>
      </c>
      <c r="AS36" s="2" t="s">
        <v>11</v>
      </c>
      <c r="AT36" s="2" t="s">
        <v>12</v>
      </c>
      <c r="AU36" s="2" t="s">
        <v>13</v>
      </c>
      <c r="AV36" s="2"/>
      <c r="AW36" s="2"/>
      <c r="AX36" s="2"/>
      <c r="AY36" s="2"/>
      <c r="AZ36" s="2"/>
      <c r="BA36" s="2"/>
    </row>
    <row r="37" spans="1:53" x14ac:dyDescent="0.15">
      <c r="A37" s="1" t="s">
        <v>32</v>
      </c>
      <c r="B37" s="3">
        <v>8397</v>
      </c>
      <c r="C37" s="3">
        <v>8432</v>
      </c>
      <c r="D37" s="3">
        <v>8371</v>
      </c>
      <c r="E37" s="3">
        <v>8384</v>
      </c>
      <c r="F37" s="3">
        <v>8397</v>
      </c>
      <c r="G37" s="3">
        <v>8094</v>
      </c>
      <c r="I37" s="3">
        <f>MIN(B37:G37)</f>
        <v>8094</v>
      </c>
      <c r="J37" s="3">
        <f>MAX(B37:G37)</f>
        <v>8432</v>
      </c>
      <c r="K37" s="3">
        <f>J37-I37</f>
        <v>338</v>
      </c>
      <c r="L37" s="3">
        <f>K37/I37*100</f>
        <v>4.1759327897207807</v>
      </c>
      <c r="M37" s="3">
        <f>K37/J37*100</f>
        <v>4.0085388994307403</v>
      </c>
      <c r="O37" s="3">
        <v>3302</v>
      </c>
      <c r="P37" s="3">
        <v>3283</v>
      </c>
      <c r="Q37" s="3">
        <v>3194</v>
      </c>
      <c r="R37" s="3">
        <v>3367</v>
      </c>
      <c r="S37" s="3">
        <v>3289</v>
      </c>
      <c r="T37" s="3">
        <v>3287</v>
      </c>
      <c r="U37" s="3">
        <v>3296</v>
      </c>
      <c r="V37" s="3">
        <v>3387</v>
      </c>
      <c r="W37" s="3">
        <v>3286</v>
      </c>
      <c r="X37" s="3">
        <v>3215</v>
      </c>
      <c r="Y37" s="3">
        <v>3245</v>
      </c>
      <c r="Z37" s="3">
        <v>3265</v>
      </c>
      <c r="AA37" s="3">
        <v>3239</v>
      </c>
      <c r="AB37" s="3">
        <v>3198</v>
      </c>
      <c r="AC37" s="3">
        <v>3337</v>
      </c>
      <c r="AD37" s="3">
        <v>3139</v>
      </c>
      <c r="AE37" s="3">
        <v>3211</v>
      </c>
      <c r="AF37" s="3">
        <v>3254</v>
      </c>
      <c r="AG37" s="3">
        <v>3374</v>
      </c>
      <c r="AH37" s="3">
        <v>3326</v>
      </c>
      <c r="AI37" s="3">
        <v>3300</v>
      </c>
      <c r="AJ37" s="3">
        <v>3203</v>
      </c>
      <c r="AK37" s="3">
        <v>3215</v>
      </c>
      <c r="AL37" s="3">
        <v>3234</v>
      </c>
      <c r="AM37" s="3">
        <v>3249</v>
      </c>
      <c r="AN37" s="3">
        <v>3205</v>
      </c>
      <c r="AO37" s="3">
        <v>3233</v>
      </c>
      <c r="AP37" s="3">
        <v>3411</v>
      </c>
      <c r="AQ37" s="3">
        <v>3098</v>
      </c>
      <c r="AR37" s="3">
        <v>3090</v>
      </c>
      <c r="AS37" s="3">
        <v>3245</v>
      </c>
      <c r="AT37" s="3">
        <v>3244</v>
      </c>
      <c r="AU37" s="3">
        <v>3252</v>
      </c>
      <c r="AW37" s="3">
        <f>MIN(O37:AU37)</f>
        <v>3090</v>
      </c>
      <c r="AX37" s="3">
        <f>MAX(O37:AU37)</f>
        <v>3411</v>
      </c>
      <c r="AY37" s="3">
        <f>AX37-AW37</f>
        <v>321</v>
      </c>
      <c r="AZ37" s="3">
        <f>AY37/AW37*100</f>
        <v>10.388349514563107</v>
      </c>
      <c r="BA37" s="3">
        <f>AY37/AX37*100</f>
        <v>9.4107299912049243</v>
      </c>
    </row>
    <row r="38" spans="1:53" x14ac:dyDescent="0.15">
      <c r="A38" s="1" t="s">
        <v>33</v>
      </c>
      <c r="B38" s="3">
        <v>1062</v>
      </c>
      <c r="C38" s="3">
        <v>1059</v>
      </c>
      <c r="D38" s="3">
        <v>1048</v>
      </c>
      <c r="E38" s="3">
        <v>1043</v>
      </c>
      <c r="F38" s="3">
        <v>1058</v>
      </c>
      <c r="G38" s="3">
        <v>1018</v>
      </c>
      <c r="I38" s="3">
        <f>MIN(B38:G38)</f>
        <v>1018</v>
      </c>
      <c r="J38" s="3">
        <f>MAX(B38:G38)</f>
        <v>1062</v>
      </c>
      <c r="K38" s="3">
        <f>J38-I38</f>
        <v>44</v>
      </c>
      <c r="L38" s="3">
        <f>K38/I38*100</f>
        <v>4.3222003929273081</v>
      </c>
      <c r="M38" s="3">
        <f>K38/J38*100</f>
        <v>4.1431261770244827</v>
      </c>
      <c r="O38" s="3">
        <v>412</v>
      </c>
      <c r="P38" s="3">
        <v>410</v>
      </c>
      <c r="Q38" s="3">
        <v>398</v>
      </c>
      <c r="R38" s="3">
        <v>421</v>
      </c>
      <c r="S38" s="3">
        <v>410</v>
      </c>
      <c r="T38" s="3">
        <v>410</v>
      </c>
      <c r="U38" s="3">
        <v>412</v>
      </c>
      <c r="V38" s="3">
        <v>423</v>
      </c>
      <c r="W38" s="3">
        <v>410</v>
      </c>
      <c r="X38" s="3">
        <v>401</v>
      </c>
      <c r="Y38" s="3">
        <v>405</v>
      </c>
      <c r="Z38" s="3">
        <v>407</v>
      </c>
      <c r="AA38" s="3">
        <v>405</v>
      </c>
      <c r="AB38" s="3">
        <v>399</v>
      </c>
      <c r="AC38" s="3">
        <v>417</v>
      </c>
      <c r="AD38" s="3">
        <v>364</v>
      </c>
      <c r="AE38" s="3">
        <v>401</v>
      </c>
      <c r="AF38" s="3">
        <v>407</v>
      </c>
      <c r="AG38" s="3">
        <v>422</v>
      </c>
      <c r="AH38" s="3">
        <v>415</v>
      </c>
      <c r="AI38" s="3">
        <v>412</v>
      </c>
      <c r="AJ38" s="3">
        <v>399</v>
      </c>
      <c r="AK38" s="3">
        <v>402</v>
      </c>
      <c r="AL38" s="3">
        <v>403</v>
      </c>
      <c r="AM38" s="3">
        <v>406</v>
      </c>
      <c r="AN38" s="3">
        <v>400</v>
      </c>
      <c r="AO38" s="3">
        <v>404</v>
      </c>
      <c r="AP38" s="3">
        <v>426</v>
      </c>
      <c r="AQ38" s="3">
        <v>412</v>
      </c>
      <c r="AR38" s="3">
        <v>394</v>
      </c>
      <c r="AS38" s="3">
        <v>406</v>
      </c>
      <c r="AT38" s="3">
        <v>405</v>
      </c>
      <c r="AU38" s="3">
        <v>406</v>
      </c>
      <c r="AW38" s="3">
        <f>MIN(O38:AU38)</f>
        <v>364</v>
      </c>
      <c r="AX38" s="3">
        <f>MAX(O38:AU38)</f>
        <v>426</v>
      </c>
      <c r="AY38" s="3">
        <f>AX38-AW38</f>
        <v>62</v>
      </c>
      <c r="AZ38" s="3">
        <f>AY38/AW38*100</f>
        <v>17.032967032967033</v>
      </c>
      <c r="BA38" s="3">
        <f>AY38/AX38*100</f>
        <v>14.553990610328638</v>
      </c>
    </row>
    <row r="39" spans="1:53" x14ac:dyDescent="0.15">
      <c r="A39" s="1" t="s">
        <v>34</v>
      </c>
      <c r="B39" s="3">
        <v>530</v>
      </c>
      <c r="C39" s="3">
        <v>530</v>
      </c>
      <c r="D39" s="3">
        <v>523</v>
      </c>
      <c r="E39" s="3">
        <v>523</v>
      </c>
      <c r="F39" s="3">
        <v>531</v>
      </c>
      <c r="G39" s="3">
        <v>507</v>
      </c>
      <c r="I39" s="3">
        <f>MIN(B39:G39)</f>
        <v>507</v>
      </c>
      <c r="J39" s="3">
        <f>MAX(B39:G39)</f>
        <v>531</v>
      </c>
      <c r="K39" s="3">
        <f>J39-I39</f>
        <v>24</v>
      </c>
      <c r="L39" s="3">
        <f>K39/I39*100</f>
        <v>4.7337278106508878</v>
      </c>
      <c r="M39" s="3">
        <f>K39/J39*100</f>
        <v>4.5197740112994351</v>
      </c>
      <c r="O39" s="3">
        <v>206</v>
      </c>
      <c r="P39" s="3">
        <v>205</v>
      </c>
      <c r="Q39" s="3">
        <v>199</v>
      </c>
      <c r="R39" s="3">
        <v>210</v>
      </c>
      <c r="S39" s="3">
        <v>205</v>
      </c>
      <c r="T39" s="3">
        <v>205</v>
      </c>
      <c r="U39" s="3">
        <v>206</v>
      </c>
      <c r="V39" s="3">
        <v>194</v>
      </c>
      <c r="W39" s="3">
        <v>204</v>
      </c>
      <c r="X39" s="3">
        <v>200</v>
      </c>
      <c r="Y39" s="3">
        <v>202</v>
      </c>
      <c r="Z39" s="3">
        <v>191</v>
      </c>
      <c r="AA39" s="3">
        <v>202</v>
      </c>
      <c r="AB39" s="3">
        <v>199</v>
      </c>
      <c r="AC39" s="3">
        <v>208</v>
      </c>
      <c r="AD39" s="3">
        <v>196</v>
      </c>
      <c r="AE39" s="3">
        <v>200</v>
      </c>
      <c r="AF39" s="3">
        <v>203</v>
      </c>
      <c r="AG39" s="3">
        <v>210</v>
      </c>
      <c r="AH39" s="3">
        <v>207</v>
      </c>
      <c r="AI39" s="3">
        <v>206</v>
      </c>
      <c r="AJ39" s="3">
        <v>200</v>
      </c>
      <c r="AK39" s="3">
        <v>200</v>
      </c>
      <c r="AL39" s="3">
        <v>201</v>
      </c>
      <c r="AM39" s="3">
        <v>203</v>
      </c>
      <c r="AN39" s="3">
        <v>200</v>
      </c>
      <c r="AO39" s="3">
        <v>201</v>
      </c>
      <c r="AP39" s="3">
        <v>212</v>
      </c>
      <c r="AQ39" s="3">
        <v>206</v>
      </c>
      <c r="AR39" s="3">
        <v>197</v>
      </c>
      <c r="AS39" s="3">
        <v>203</v>
      </c>
      <c r="AT39" s="3">
        <v>202</v>
      </c>
      <c r="AU39" s="3">
        <v>203</v>
      </c>
      <c r="AW39" s="3">
        <f>MIN(O39:AU39)</f>
        <v>191</v>
      </c>
      <c r="AX39" s="3">
        <f>MAX(O39:AU39)</f>
        <v>212</v>
      </c>
      <c r="AY39" s="3">
        <f>AX39-AW39</f>
        <v>21</v>
      </c>
      <c r="AZ39" s="3">
        <f>AY39/AW39*100</f>
        <v>10.99476439790576</v>
      </c>
      <c r="BA39" s="3">
        <f>AY39/AX39*100</f>
        <v>9.9056603773584904</v>
      </c>
    </row>
    <row r="46" spans="1:53" x14ac:dyDescent="0.15">
      <c r="A46" s="5" t="s">
        <v>39</v>
      </c>
    </row>
    <row r="47" spans="1:53" x14ac:dyDescent="0.15">
      <c r="A47" s="1" t="s">
        <v>0</v>
      </c>
      <c r="B47" s="2" t="s">
        <v>1</v>
      </c>
      <c r="C47" s="2" t="s">
        <v>2</v>
      </c>
      <c r="D47" s="2" t="s">
        <v>1</v>
      </c>
      <c r="E47" s="2" t="s">
        <v>2</v>
      </c>
      <c r="F47" s="2" t="s">
        <v>1</v>
      </c>
      <c r="G47" s="2" t="s">
        <v>2</v>
      </c>
      <c r="H47" s="2"/>
      <c r="I47" s="2"/>
      <c r="J47" s="2"/>
      <c r="K47" s="2"/>
      <c r="L47" s="2"/>
      <c r="M47" s="2"/>
      <c r="N47" s="2"/>
      <c r="O47" s="2" t="s">
        <v>3</v>
      </c>
      <c r="P47" s="2" t="s">
        <v>4</v>
      </c>
      <c r="Q47" s="2" t="s">
        <v>5</v>
      </c>
      <c r="R47" s="2" t="s">
        <v>6</v>
      </c>
      <c r="S47" s="2" t="s">
        <v>7</v>
      </c>
      <c r="T47" s="2" t="s">
        <v>8</v>
      </c>
      <c r="U47" s="2" t="s">
        <v>9</v>
      </c>
      <c r="V47" s="2" t="s">
        <v>10</v>
      </c>
      <c r="W47" s="2" t="s">
        <v>11</v>
      </c>
      <c r="X47" s="2" t="s">
        <v>12</v>
      </c>
      <c r="Y47" s="2" t="s">
        <v>13</v>
      </c>
      <c r="Z47" s="2" t="s">
        <v>3</v>
      </c>
      <c r="AA47" s="2" t="s">
        <v>4</v>
      </c>
      <c r="AB47" s="2" t="s">
        <v>5</v>
      </c>
      <c r="AC47" s="2" t="s">
        <v>6</v>
      </c>
      <c r="AD47" s="2" t="s">
        <v>7</v>
      </c>
      <c r="AE47" s="2" t="s">
        <v>8</v>
      </c>
      <c r="AF47" s="2" t="s">
        <v>9</v>
      </c>
      <c r="AG47" s="2" t="s">
        <v>10</v>
      </c>
      <c r="AH47" s="2" t="s">
        <v>11</v>
      </c>
      <c r="AI47" s="2" t="s">
        <v>12</v>
      </c>
      <c r="AJ47" s="2" t="s">
        <v>13</v>
      </c>
      <c r="AK47" s="2" t="s">
        <v>3</v>
      </c>
      <c r="AL47" s="2" t="s">
        <v>4</v>
      </c>
      <c r="AM47" s="2" t="s">
        <v>5</v>
      </c>
      <c r="AN47" s="2" t="s">
        <v>6</v>
      </c>
      <c r="AO47" s="2" t="s">
        <v>7</v>
      </c>
      <c r="AP47" s="2" t="s">
        <v>8</v>
      </c>
      <c r="AQ47" s="2" t="s">
        <v>9</v>
      </c>
      <c r="AR47" s="2" t="s">
        <v>10</v>
      </c>
      <c r="AS47" s="2" t="s">
        <v>11</v>
      </c>
      <c r="AT47" s="2" t="s">
        <v>12</v>
      </c>
      <c r="AU47" s="2" t="s">
        <v>13</v>
      </c>
      <c r="AV47" s="2"/>
      <c r="AW47" s="2"/>
      <c r="AX47" s="2"/>
      <c r="AY47" s="2"/>
      <c r="AZ47" s="2"/>
      <c r="BA47" s="2"/>
    </row>
    <row r="48" spans="1:53" x14ac:dyDescent="0.15">
      <c r="A48" s="1" t="s">
        <v>14</v>
      </c>
      <c r="B48" s="3">
        <v>32400</v>
      </c>
      <c r="C48" s="3">
        <v>31900</v>
      </c>
      <c r="D48" s="3">
        <v>35400</v>
      </c>
      <c r="E48" s="3">
        <v>36800</v>
      </c>
      <c r="F48" s="3">
        <v>32400</v>
      </c>
      <c r="G48" s="3">
        <v>32400</v>
      </c>
      <c r="I48" s="3">
        <f>MIN(B48:G48)</f>
        <v>31900</v>
      </c>
      <c r="J48" s="3">
        <f>MAX(B48:G48)</f>
        <v>36800</v>
      </c>
      <c r="K48" s="3">
        <f>J48-I48</f>
        <v>4900</v>
      </c>
      <c r="L48" s="3">
        <f>K48/I48*100</f>
        <v>15.360501567398119</v>
      </c>
      <c r="M48" s="3">
        <f>K48/J48*100</f>
        <v>13.315217391304349</v>
      </c>
      <c r="O48" s="3">
        <v>223</v>
      </c>
      <c r="P48" s="3">
        <v>223</v>
      </c>
      <c r="Q48" s="3">
        <v>224</v>
      </c>
      <c r="R48" s="3">
        <v>225</v>
      </c>
      <c r="S48" s="3">
        <v>235</v>
      </c>
      <c r="T48" s="3">
        <v>219</v>
      </c>
      <c r="U48" s="3">
        <v>229</v>
      </c>
      <c r="V48" s="3">
        <v>235</v>
      </c>
      <c r="W48" s="3">
        <v>234</v>
      </c>
      <c r="X48" s="3">
        <v>216</v>
      </c>
      <c r="Y48" s="3">
        <v>217</v>
      </c>
      <c r="Z48" s="3">
        <v>222</v>
      </c>
      <c r="AA48" s="3">
        <v>235</v>
      </c>
      <c r="AB48" s="3">
        <v>224</v>
      </c>
      <c r="AC48" s="3">
        <v>234</v>
      </c>
      <c r="AD48" s="3">
        <v>208</v>
      </c>
      <c r="AE48" s="3">
        <v>226</v>
      </c>
      <c r="AF48" s="3">
        <v>234</v>
      </c>
      <c r="AG48" s="3">
        <v>224</v>
      </c>
      <c r="AH48" s="3">
        <v>220</v>
      </c>
      <c r="AI48" s="3">
        <v>217</v>
      </c>
      <c r="AJ48" s="3">
        <v>226</v>
      </c>
      <c r="AK48" s="3">
        <v>226</v>
      </c>
      <c r="AL48" s="3">
        <v>239</v>
      </c>
      <c r="AM48" s="3">
        <v>228</v>
      </c>
      <c r="AN48" s="3">
        <v>225</v>
      </c>
      <c r="AO48" s="3">
        <v>225</v>
      </c>
      <c r="AP48" s="3">
        <v>229</v>
      </c>
      <c r="AQ48" s="3">
        <v>229</v>
      </c>
      <c r="AR48" s="3">
        <v>227</v>
      </c>
      <c r="AS48" s="3">
        <v>219</v>
      </c>
      <c r="AT48" s="3">
        <v>234</v>
      </c>
      <c r="AU48" s="3">
        <v>243</v>
      </c>
      <c r="AW48" s="3">
        <f>MIN(O48:AU48)</f>
        <v>208</v>
      </c>
      <c r="AX48" s="3">
        <f>MAX(O48:AU48)</f>
        <v>243</v>
      </c>
      <c r="AY48" s="3">
        <f>AX48-AW48</f>
        <v>35</v>
      </c>
      <c r="AZ48" s="3">
        <f>AY48/AW48*100</f>
        <v>16.826923076923077</v>
      </c>
      <c r="BA48" s="3">
        <f>AY48/AX48*100</f>
        <v>14.403292181069959</v>
      </c>
    </row>
    <row r="49" spans="1:53" x14ac:dyDescent="0.15">
      <c r="A49" s="1" t="s">
        <v>15</v>
      </c>
      <c r="B49" s="3">
        <v>25800</v>
      </c>
      <c r="C49" s="3">
        <v>25200</v>
      </c>
      <c r="D49" s="3">
        <v>27500</v>
      </c>
      <c r="E49" s="3">
        <v>29300</v>
      </c>
      <c r="F49" s="3">
        <v>25800</v>
      </c>
      <c r="G49" s="3">
        <v>25800</v>
      </c>
      <c r="I49" s="3">
        <f>MIN(B49:G49)</f>
        <v>25200</v>
      </c>
      <c r="J49" s="3">
        <f>MAX(B49:G49)</f>
        <v>29300</v>
      </c>
      <c r="K49" s="3">
        <f>J49-I49</f>
        <v>4100</v>
      </c>
      <c r="L49" s="3">
        <f>K49/I49*100</f>
        <v>16.269841269841269</v>
      </c>
      <c r="M49" s="3">
        <f>K49/J49*100</f>
        <v>13.993174061433447</v>
      </c>
      <c r="O49" s="3">
        <v>222</v>
      </c>
      <c r="P49" s="3">
        <v>221</v>
      </c>
      <c r="Q49" s="3">
        <v>222</v>
      </c>
      <c r="R49" s="3">
        <v>224</v>
      </c>
      <c r="S49" s="3">
        <v>232</v>
      </c>
      <c r="T49" s="3">
        <v>215</v>
      </c>
      <c r="U49" s="3">
        <v>228</v>
      </c>
      <c r="V49" s="3">
        <v>234</v>
      </c>
      <c r="W49" s="3">
        <v>233</v>
      </c>
      <c r="X49" s="3">
        <v>214</v>
      </c>
      <c r="Y49" s="3">
        <v>216</v>
      </c>
      <c r="Z49" s="3">
        <v>220</v>
      </c>
      <c r="AA49" s="3">
        <v>237</v>
      </c>
      <c r="AB49" s="3">
        <v>223</v>
      </c>
      <c r="AC49" s="3">
        <v>233</v>
      </c>
      <c r="AD49" s="3">
        <v>205</v>
      </c>
      <c r="AE49" s="3">
        <v>224</v>
      </c>
      <c r="AF49" s="3">
        <v>233</v>
      </c>
      <c r="AG49" s="3">
        <v>223</v>
      </c>
      <c r="AH49" s="3">
        <v>217</v>
      </c>
      <c r="AI49" s="3">
        <v>216</v>
      </c>
      <c r="AJ49" s="3">
        <v>225</v>
      </c>
      <c r="AK49" s="3">
        <v>224</v>
      </c>
      <c r="AL49" s="3">
        <v>237</v>
      </c>
      <c r="AM49" s="3">
        <v>227</v>
      </c>
      <c r="AN49" s="3">
        <v>225</v>
      </c>
      <c r="AO49" s="3">
        <v>224</v>
      </c>
      <c r="AP49" s="3">
        <v>229</v>
      </c>
      <c r="AQ49" s="3">
        <v>229</v>
      </c>
      <c r="AR49" s="3">
        <v>224</v>
      </c>
      <c r="AS49" s="3">
        <v>216</v>
      </c>
      <c r="AT49" s="3">
        <v>234</v>
      </c>
      <c r="AU49" s="3">
        <v>245</v>
      </c>
      <c r="AW49" s="3">
        <f>MIN(O49:AU49)</f>
        <v>205</v>
      </c>
      <c r="AX49" s="3">
        <f>MAX(O49:AU49)</f>
        <v>245</v>
      </c>
      <c r="AY49" s="3">
        <f>AX49-AW49</f>
        <v>40</v>
      </c>
      <c r="AZ49" s="3">
        <f>AY49/AW49*100</f>
        <v>19.512195121951219</v>
      </c>
      <c r="BA49" s="3">
        <f>AY49/AX49*100</f>
        <v>16.326530612244898</v>
      </c>
    </row>
    <row r="50" spans="1:53" x14ac:dyDescent="0.15">
      <c r="A50" s="1" t="s">
        <v>16</v>
      </c>
      <c r="B50" s="3">
        <v>7019</v>
      </c>
      <c r="C50" s="3">
        <v>6801</v>
      </c>
      <c r="D50" s="3">
        <v>7098</v>
      </c>
      <c r="E50" s="3">
        <v>7515</v>
      </c>
      <c r="F50" s="3">
        <v>7001</v>
      </c>
      <c r="G50" s="3">
        <v>7016</v>
      </c>
      <c r="I50" s="3">
        <f>MIN(B50:G50)</f>
        <v>6801</v>
      </c>
      <c r="J50" s="3">
        <f>MAX(B50:G50)</f>
        <v>7515</v>
      </c>
      <c r="K50" s="3">
        <f>J50-I50</f>
        <v>714</v>
      </c>
      <c r="L50" s="3">
        <f>K50/I50*100</f>
        <v>10.498456109395677</v>
      </c>
      <c r="M50" s="3">
        <f>K50/J50*100</f>
        <v>9.5009980039920165</v>
      </c>
      <c r="O50" s="3">
        <v>207</v>
      </c>
      <c r="P50" s="3">
        <v>203</v>
      </c>
      <c r="Q50" s="3">
        <v>206</v>
      </c>
      <c r="R50" s="3">
        <v>213</v>
      </c>
      <c r="S50" s="3">
        <v>214</v>
      </c>
      <c r="T50" s="3">
        <v>200</v>
      </c>
      <c r="U50" s="3">
        <v>212</v>
      </c>
      <c r="V50" s="3">
        <v>220</v>
      </c>
      <c r="W50" s="3">
        <v>213</v>
      </c>
      <c r="X50" s="3">
        <v>203</v>
      </c>
      <c r="Y50" s="3">
        <v>206</v>
      </c>
      <c r="Z50" s="3">
        <v>204</v>
      </c>
      <c r="AA50" s="3">
        <v>215</v>
      </c>
      <c r="AB50" s="3">
        <v>205</v>
      </c>
      <c r="AC50" s="3">
        <v>215</v>
      </c>
      <c r="AD50" s="3">
        <v>191</v>
      </c>
      <c r="AE50" s="3">
        <v>205</v>
      </c>
      <c r="AF50" s="3">
        <v>215</v>
      </c>
      <c r="AG50" s="3">
        <v>207</v>
      </c>
      <c r="AH50" s="3">
        <v>202</v>
      </c>
      <c r="AI50" s="3">
        <v>199</v>
      </c>
      <c r="AJ50" s="3">
        <v>207</v>
      </c>
      <c r="AK50" s="3">
        <v>210</v>
      </c>
      <c r="AL50" s="3">
        <v>215</v>
      </c>
      <c r="AM50" s="3">
        <v>207</v>
      </c>
      <c r="AN50" s="3">
        <v>207</v>
      </c>
      <c r="AO50" s="3">
        <v>210</v>
      </c>
      <c r="AP50" s="3">
        <v>214</v>
      </c>
      <c r="AQ50" s="3">
        <v>210</v>
      </c>
      <c r="AR50" s="3">
        <v>207</v>
      </c>
      <c r="AS50" s="3">
        <v>204</v>
      </c>
      <c r="AT50" s="3">
        <v>211</v>
      </c>
      <c r="AU50" s="3">
        <v>224</v>
      </c>
      <c r="AW50" s="3">
        <f>MIN(O50:AU50)</f>
        <v>191</v>
      </c>
      <c r="AX50" s="3">
        <f>MAX(O50:AU50)</f>
        <v>224</v>
      </c>
      <c r="AY50" s="3">
        <f>AX50-AW50</f>
        <v>33</v>
      </c>
      <c r="AZ50" s="3">
        <f>AY50/AW50*100</f>
        <v>17.277486910994764</v>
      </c>
      <c r="BA50" s="3">
        <f>AY50/AX50*100</f>
        <v>14.732142857142858</v>
      </c>
    </row>
    <row r="56" spans="1:53" x14ac:dyDescent="0.15">
      <c r="A56" s="1" t="s">
        <v>0</v>
      </c>
      <c r="B56" s="2" t="s">
        <v>1</v>
      </c>
      <c r="C56" s="2" t="s">
        <v>2</v>
      </c>
      <c r="D56" s="2" t="s">
        <v>1</v>
      </c>
      <c r="E56" s="2" t="s">
        <v>2</v>
      </c>
      <c r="F56" s="2" t="s">
        <v>1</v>
      </c>
      <c r="G56" s="2" t="s">
        <v>2</v>
      </c>
      <c r="H56" s="2"/>
      <c r="I56" s="2"/>
      <c r="J56" s="2"/>
      <c r="K56" s="2"/>
      <c r="L56" s="2"/>
      <c r="M56" s="2"/>
      <c r="N56" s="2"/>
      <c r="O56" s="2" t="s">
        <v>3</v>
      </c>
      <c r="P56" s="2" t="s">
        <v>4</v>
      </c>
      <c r="Q56" s="2" t="s">
        <v>5</v>
      </c>
      <c r="R56" s="2" t="s">
        <v>6</v>
      </c>
      <c r="S56" s="2" t="s">
        <v>7</v>
      </c>
      <c r="T56" s="2" t="s">
        <v>8</v>
      </c>
      <c r="U56" s="2" t="s">
        <v>9</v>
      </c>
      <c r="V56" s="2" t="s">
        <v>10</v>
      </c>
      <c r="W56" s="2" t="s">
        <v>11</v>
      </c>
      <c r="X56" s="2" t="s">
        <v>12</v>
      </c>
      <c r="Y56" s="2" t="s">
        <v>13</v>
      </c>
      <c r="Z56" s="2" t="s">
        <v>3</v>
      </c>
      <c r="AA56" s="2" t="s">
        <v>4</v>
      </c>
      <c r="AB56" s="2" t="s">
        <v>5</v>
      </c>
      <c r="AC56" s="2" t="s">
        <v>6</v>
      </c>
      <c r="AD56" s="2" t="s">
        <v>7</v>
      </c>
      <c r="AE56" s="2" t="s">
        <v>8</v>
      </c>
      <c r="AF56" s="2" t="s">
        <v>9</v>
      </c>
      <c r="AG56" s="2" t="s">
        <v>10</v>
      </c>
      <c r="AH56" s="2" t="s">
        <v>11</v>
      </c>
      <c r="AI56" s="2" t="s">
        <v>12</v>
      </c>
      <c r="AJ56" s="2" t="s">
        <v>13</v>
      </c>
      <c r="AK56" s="2" t="s">
        <v>3</v>
      </c>
      <c r="AL56" s="2" t="s">
        <v>4</v>
      </c>
      <c r="AM56" s="2" t="s">
        <v>5</v>
      </c>
      <c r="AN56" s="2" t="s">
        <v>6</v>
      </c>
      <c r="AO56" s="2" t="s">
        <v>7</v>
      </c>
      <c r="AP56" s="2" t="s">
        <v>8</v>
      </c>
      <c r="AQ56" s="2" t="s">
        <v>9</v>
      </c>
      <c r="AR56" s="2" t="s">
        <v>10</v>
      </c>
      <c r="AS56" s="2" t="s">
        <v>11</v>
      </c>
      <c r="AT56" s="2" t="s">
        <v>12</v>
      </c>
      <c r="AU56" s="2" t="s">
        <v>13</v>
      </c>
      <c r="AV56" s="2"/>
      <c r="AW56" s="2"/>
      <c r="AX56" s="2"/>
      <c r="AY56" s="2"/>
      <c r="AZ56" s="2"/>
      <c r="BA56" s="2"/>
    </row>
    <row r="57" spans="1:53" x14ac:dyDescent="0.15">
      <c r="A57" s="1" t="s">
        <v>20</v>
      </c>
      <c r="B57" s="3">
        <v>70800</v>
      </c>
      <c r="C57" s="3">
        <v>70000</v>
      </c>
      <c r="D57" s="3">
        <v>70900</v>
      </c>
      <c r="E57" s="3">
        <v>70900</v>
      </c>
      <c r="F57" s="3">
        <v>70900</v>
      </c>
      <c r="G57" s="3">
        <v>70800</v>
      </c>
      <c r="I57" s="3">
        <f>MIN(B57:G57)</f>
        <v>70000</v>
      </c>
      <c r="J57" s="3">
        <f>MAX(B57:G57)</f>
        <v>70900</v>
      </c>
      <c r="K57" s="3">
        <f>J57-I57</f>
        <v>900</v>
      </c>
      <c r="L57" s="3">
        <f>K57/I57*100</f>
        <v>1.2857142857142856</v>
      </c>
      <c r="M57" s="3">
        <f>K57/J57*100</f>
        <v>1.2693935119887165</v>
      </c>
      <c r="O57" s="3">
        <v>508</v>
      </c>
      <c r="P57" s="3">
        <v>511</v>
      </c>
      <c r="Q57" s="3">
        <v>509</v>
      </c>
      <c r="R57" s="3">
        <v>515</v>
      </c>
      <c r="S57" s="3">
        <v>516</v>
      </c>
      <c r="T57" s="3">
        <v>510</v>
      </c>
      <c r="U57" s="3">
        <v>513</v>
      </c>
      <c r="V57" s="3">
        <v>517</v>
      </c>
      <c r="W57" s="3">
        <v>512</v>
      </c>
      <c r="X57" s="3">
        <v>485</v>
      </c>
      <c r="Y57" s="3">
        <v>491</v>
      </c>
      <c r="Z57" s="3">
        <v>512</v>
      </c>
      <c r="AA57" s="3">
        <v>504</v>
      </c>
      <c r="AB57" s="3">
        <v>509</v>
      </c>
      <c r="AC57" s="3">
        <v>513</v>
      </c>
      <c r="AD57" s="3">
        <v>506</v>
      </c>
      <c r="AE57" s="3">
        <v>512</v>
      </c>
      <c r="AF57" s="3">
        <v>512</v>
      </c>
      <c r="AG57" s="3">
        <v>514</v>
      </c>
      <c r="AH57" s="3">
        <v>512</v>
      </c>
      <c r="AI57" s="3">
        <v>513</v>
      </c>
      <c r="AJ57" s="3">
        <v>511</v>
      </c>
      <c r="AK57" s="3">
        <v>511</v>
      </c>
      <c r="AL57" s="3">
        <v>504</v>
      </c>
      <c r="AM57" s="3">
        <v>515</v>
      </c>
      <c r="AN57" s="3">
        <v>511</v>
      </c>
      <c r="AO57" s="3">
        <v>513</v>
      </c>
      <c r="AP57" s="3">
        <v>508</v>
      </c>
      <c r="AQ57" s="3">
        <v>515</v>
      </c>
      <c r="AR57" s="3">
        <v>509</v>
      </c>
      <c r="AS57" s="3">
        <v>511</v>
      </c>
      <c r="AT57" s="3">
        <v>512</v>
      </c>
      <c r="AU57" s="3">
        <v>495</v>
      </c>
      <c r="AW57" s="3">
        <f>MIN(O57:AU57)</f>
        <v>485</v>
      </c>
      <c r="AX57" s="3">
        <f>MAX(O57:AU57)</f>
        <v>517</v>
      </c>
      <c r="AY57" s="3">
        <f>AX57-AW57</f>
        <v>32</v>
      </c>
      <c r="AZ57" s="3">
        <f>AY57/AW57*100</f>
        <v>6.5979381443298974</v>
      </c>
      <c r="BA57" s="3">
        <f>AY57/AX57*100</f>
        <v>6.1895551257253389</v>
      </c>
    </row>
    <row r="58" spans="1:53" x14ac:dyDescent="0.15">
      <c r="A58" s="1" t="s">
        <v>21</v>
      </c>
      <c r="B58" s="3">
        <v>45900</v>
      </c>
      <c r="C58" s="3">
        <v>45000</v>
      </c>
      <c r="D58" s="3">
        <v>45000</v>
      </c>
      <c r="E58" s="3">
        <v>45000</v>
      </c>
      <c r="F58" s="3">
        <v>45000</v>
      </c>
      <c r="G58" s="3">
        <v>45800</v>
      </c>
      <c r="I58" s="3">
        <f>MIN(B58:G58)</f>
        <v>45000</v>
      </c>
      <c r="J58" s="3">
        <f>MAX(B58:G58)</f>
        <v>45900</v>
      </c>
      <c r="K58" s="3">
        <f>J58-I58</f>
        <v>900</v>
      </c>
      <c r="L58" s="3">
        <f>K58/I58*100</f>
        <v>2</v>
      </c>
      <c r="M58" s="3">
        <f>K58/J58*100</f>
        <v>1.9607843137254901</v>
      </c>
      <c r="O58" s="3">
        <v>505</v>
      </c>
      <c r="P58" s="3">
        <v>507</v>
      </c>
      <c r="Q58" s="3">
        <v>507</v>
      </c>
      <c r="R58" s="3">
        <v>510</v>
      </c>
      <c r="S58" s="3">
        <v>511</v>
      </c>
      <c r="T58" s="3">
        <v>507</v>
      </c>
      <c r="U58" s="3">
        <v>510</v>
      </c>
      <c r="V58" s="3">
        <v>511</v>
      </c>
      <c r="W58" s="3">
        <v>509</v>
      </c>
      <c r="X58" s="3">
        <v>482</v>
      </c>
      <c r="Y58" s="3">
        <v>488</v>
      </c>
      <c r="Z58" s="3">
        <v>508</v>
      </c>
      <c r="AA58" s="3">
        <v>501</v>
      </c>
      <c r="AB58" s="3">
        <v>505</v>
      </c>
      <c r="AC58" s="3">
        <v>513</v>
      </c>
      <c r="AD58" s="3">
        <v>505</v>
      </c>
      <c r="AE58" s="3">
        <v>506</v>
      </c>
      <c r="AF58" s="3">
        <v>511</v>
      </c>
      <c r="AG58" s="3">
        <v>512</v>
      </c>
      <c r="AH58" s="3">
        <v>507</v>
      </c>
      <c r="AI58" s="3">
        <v>509</v>
      </c>
      <c r="AJ58" s="3">
        <v>507</v>
      </c>
      <c r="AK58" s="3">
        <v>508</v>
      </c>
      <c r="AL58" s="3">
        <v>501</v>
      </c>
      <c r="AM58" s="3">
        <v>510</v>
      </c>
      <c r="AN58" s="3">
        <v>508</v>
      </c>
      <c r="AO58" s="3">
        <v>511</v>
      </c>
      <c r="AP58" s="3">
        <v>505</v>
      </c>
      <c r="AQ58" s="3">
        <v>511</v>
      </c>
      <c r="AR58" s="3">
        <v>506</v>
      </c>
      <c r="AS58" s="3">
        <v>510</v>
      </c>
      <c r="AT58" s="3">
        <v>508</v>
      </c>
      <c r="AU58" s="3">
        <v>493</v>
      </c>
      <c r="AW58" s="3">
        <f>MIN(O58:AU58)</f>
        <v>482</v>
      </c>
      <c r="AX58" s="3">
        <f>MAX(O58:AU58)</f>
        <v>513</v>
      </c>
      <c r="AY58" s="3">
        <f>AX58-AW58</f>
        <v>31</v>
      </c>
      <c r="AZ58" s="3">
        <f>AY58/AW58*100</f>
        <v>6.4315352697095429</v>
      </c>
      <c r="BA58" s="3">
        <f>AY58/AX58*100</f>
        <v>6.0428849902534107</v>
      </c>
    </row>
    <row r="59" spans="1:53" x14ac:dyDescent="0.15">
      <c r="A59" s="1" t="s">
        <v>22</v>
      </c>
      <c r="B59" s="3">
        <v>8192</v>
      </c>
      <c r="C59" s="3">
        <v>8139</v>
      </c>
      <c r="D59" s="3">
        <v>7937</v>
      </c>
      <c r="E59" s="3">
        <v>7949</v>
      </c>
      <c r="F59" s="3">
        <v>8039</v>
      </c>
      <c r="G59" s="3">
        <v>8106</v>
      </c>
      <c r="I59" s="3">
        <f>MIN(B59:G59)</f>
        <v>7937</v>
      </c>
      <c r="J59" s="3">
        <f>MAX(B59:G59)</f>
        <v>8192</v>
      </c>
      <c r="K59" s="3">
        <f>J59-I59</f>
        <v>255</v>
      </c>
      <c r="L59" s="3">
        <f>K59/I59*100</f>
        <v>3.2128008063500064</v>
      </c>
      <c r="M59" s="3">
        <f>K59/J59*100</f>
        <v>3.11279296875</v>
      </c>
      <c r="O59" s="3">
        <v>461</v>
      </c>
      <c r="P59" s="3">
        <v>462</v>
      </c>
      <c r="Q59" s="3">
        <v>459</v>
      </c>
      <c r="R59" s="3">
        <v>464</v>
      </c>
      <c r="S59" s="3">
        <v>466</v>
      </c>
      <c r="T59" s="3">
        <v>460</v>
      </c>
      <c r="U59" s="3">
        <v>461</v>
      </c>
      <c r="V59" s="3">
        <v>459</v>
      </c>
      <c r="W59" s="3">
        <v>450</v>
      </c>
      <c r="X59" s="3">
        <v>440</v>
      </c>
      <c r="Y59" s="3">
        <v>442</v>
      </c>
      <c r="Z59" s="3">
        <v>461</v>
      </c>
      <c r="AA59" s="3">
        <v>455</v>
      </c>
      <c r="AB59" s="3">
        <v>458</v>
      </c>
      <c r="AC59" s="3">
        <v>465</v>
      </c>
      <c r="AD59" s="3">
        <v>453</v>
      </c>
      <c r="AE59" s="3">
        <v>459</v>
      </c>
      <c r="AF59" s="3">
        <v>458</v>
      </c>
      <c r="AG59" s="3">
        <v>465</v>
      </c>
      <c r="AH59" s="3">
        <v>466</v>
      </c>
      <c r="AI59" s="3">
        <v>467</v>
      </c>
      <c r="AJ59" s="3">
        <v>457</v>
      </c>
      <c r="AK59" s="3">
        <v>461</v>
      </c>
      <c r="AL59" s="3">
        <v>454</v>
      </c>
      <c r="AM59" s="3">
        <v>463</v>
      </c>
      <c r="AN59" s="3">
        <v>458</v>
      </c>
      <c r="AO59" s="3">
        <v>468</v>
      </c>
      <c r="AP59" s="3">
        <v>457</v>
      </c>
      <c r="AQ59" s="3">
        <v>459</v>
      </c>
      <c r="AR59" s="3">
        <v>460</v>
      </c>
      <c r="AS59" s="3">
        <v>462</v>
      </c>
      <c r="AT59" s="3">
        <v>458</v>
      </c>
      <c r="AU59" s="3">
        <v>452</v>
      </c>
      <c r="AW59" s="3">
        <f>MIN(O59:AU59)</f>
        <v>440</v>
      </c>
      <c r="AX59" s="3">
        <f>MAX(O59:AU59)</f>
        <v>468</v>
      </c>
      <c r="AY59" s="3">
        <f>AX59-AW59</f>
        <v>28</v>
      </c>
      <c r="AZ59" s="3">
        <f>AY59/AW59*100</f>
        <v>6.3636363636363633</v>
      </c>
      <c r="BA59" s="3">
        <f>AY59/AX59*100</f>
        <v>5.982905982905983</v>
      </c>
    </row>
    <row r="66" spans="1:53" x14ac:dyDescent="0.15">
      <c r="A66" s="1" t="s">
        <v>0</v>
      </c>
      <c r="B66" s="2" t="s">
        <v>1</v>
      </c>
      <c r="C66" s="2" t="s">
        <v>2</v>
      </c>
      <c r="D66" s="2" t="s">
        <v>1</v>
      </c>
      <c r="E66" s="2" t="s">
        <v>2</v>
      </c>
      <c r="F66" s="2" t="s">
        <v>1</v>
      </c>
      <c r="G66" s="2" t="s">
        <v>2</v>
      </c>
      <c r="H66" s="2"/>
      <c r="I66" s="2"/>
      <c r="J66" s="2"/>
      <c r="K66" s="2"/>
      <c r="L66" s="2"/>
      <c r="M66" s="2"/>
      <c r="N66" s="2"/>
      <c r="O66" s="2" t="s">
        <v>3</v>
      </c>
      <c r="P66" s="2" t="s">
        <v>4</v>
      </c>
      <c r="Q66" s="2" t="s">
        <v>5</v>
      </c>
      <c r="R66" s="2" t="s">
        <v>6</v>
      </c>
      <c r="S66" s="2" t="s">
        <v>7</v>
      </c>
      <c r="T66" s="2" t="s">
        <v>8</v>
      </c>
      <c r="U66" s="2" t="s">
        <v>9</v>
      </c>
      <c r="V66" s="2" t="s">
        <v>10</v>
      </c>
      <c r="W66" s="2" t="s">
        <v>11</v>
      </c>
      <c r="X66" s="2" t="s">
        <v>12</v>
      </c>
      <c r="Y66" s="2" t="s">
        <v>13</v>
      </c>
      <c r="Z66" s="2" t="s">
        <v>3</v>
      </c>
      <c r="AA66" s="2" t="s">
        <v>4</v>
      </c>
      <c r="AB66" s="2" t="s">
        <v>5</v>
      </c>
      <c r="AC66" s="2" t="s">
        <v>6</v>
      </c>
      <c r="AD66" s="2" t="s">
        <v>7</v>
      </c>
      <c r="AE66" s="2" t="s">
        <v>8</v>
      </c>
      <c r="AF66" s="2" t="s">
        <v>9</v>
      </c>
      <c r="AG66" s="2" t="s">
        <v>10</v>
      </c>
      <c r="AH66" s="2" t="s">
        <v>11</v>
      </c>
      <c r="AI66" s="2" t="s">
        <v>12</v>
      </c>
      <c r="AJ66" s="2" t="s">
        <v>13</v>
      </c>
      <c r="AK66" s="2" t="s">
        <v>3</v>
      </c>
      <c r="AL66" s="2" t="s">
        <v>4</v>
      </c>
      <c r="AM66" s="2" t="s">
        <v>5</v>
      </c>
      <c r="AN66" s="2" t="s">
        <v>6</v>
      </c>
      <c r="AO66" s="2" t="s">
        <v>7</v>
      </c>
      <c r="AP66" s="2" t="s">
        <v>8</v>
      </c>
      <c r="AQ66" s="2" t="s">
        <v>9</v>
      </c>
      <c r="AR66" s="2" t="s">
        <v>10</v>
      </c>
      <c r="AS66" s="2" t="s">
        <v>11</v>
      </c>
      <c r="AT66" s="2" t="s">
        <v>12</v>
      </c>
      <c r="AU66" s="2" t="s">
        <v>13</v>
      </c>
      <c r="AV66" s="2"/>
      <c r="AW66" s="2"/>
      <c r="AX66" s="2"/>
      <c r="AY66" s="2"/>
      <c r="AZ66" s="2"/>
      <c r="BA66" s="2"/>
    </row>
    <row r="67" spans="1:53" x14ac:dyDescent="0.15">
      <c r="A67" s="1" t="s">
        <v>26</v>
      </c>
      <c r="B67" s="3">
        <v>4547</v>
      </c>
      <c r="C67" s="3">
        <v>4459</v>
      </c>
      <c r="D67" s="3">
        <v>4539</v>
      </c>
      <c r="E67" s="3">
        <v>4573</v>
      </c>
      <c r="F67" s="3">
        <v>4595</v>
      </c>
      <c r="G67" s="3">
        <v>4623</v>
      </c>
      <c r="I67" s="3">
        <f>MIN(B67:G67)</f>
        <v>4459</v>
      </c>
      <c r="J67" s="3">
        <f>MAX(B67:G67)</f>
        <v>4623</v>
      </c>
      <c r="K67" s="3">
        <f>J67-I67</f>
        <v>164</v>
      </c>
      <c r="L67" s="3">
        <f>K67/I67*100</f>
        <v>3.6779546983628619</v>
      </c>
      <c r="M67" s="3">
        <f>K67/J67*100</f>
        <v>3.5474799913476094</v>
      </c>
      <c r="O67" s="3">
        <v>3002</v>
      </c>
      <c r="P67" s="3">
        <v>3103</v>
      </c>
      <c r="Q67" s="3">
        <v>2845</v>
      </c>
      <c r="R67" s="3">
        <v>3236</v>
      </c>
      <c r="S67" s="3">
        <v>3082</v>
      </c>
      <c r="T67" s="3">
        <v>2901</v>
      </c>
      <c r="U67" s="3">
        <v>3167</v>
      </c>
      <c r="V67" s="3">
        <v>3246</v>
      </c>
      <c r="W67" s="3">
        <v>3164</v>
      </c>
      <c r="X67" s="3">
        <v>3003</v>
      </c>
      <c r="Y67" s="3">
        <v>3126</v>
      </c>
      <c r="Z67" s="3">
        <v>3097</v>
      </c>
      <c r="AA67" s="3">
        <v>3108</v>
      </c>
      <c r="AB67" s="3">
        <v>2770</v>
      </c>
      <c r="AC67" s="3">
        <v>3224</v>
      </c>
      <c r="AD67" s="3">
        <v>3029</v>
      </c>
      <c r="AE67" s="3">
        <v>3052</v>
      </c>
      <c r="AF67" s="3">
        <v>3138</v>
      </c>
      <c r="AG67" s="3">
        <v>3239</v>
      </c>
      <c r="AH67" s="3">
        <v>3199</v>
      </c>
      <c r="AI67" s="3">
        <v>3183</v>
      </c>
      <c r="AJ67" s="3">
        <v>3091</v>
      </c>
      <c r="AK67" s="3">
        <v>3090</v>
      </c>
      <c r="AL67" s="3">
        <v>3118</v>
      </c>
      <c r="AM67" s="3">
        <v>3102</v>
      </c>
      <c r="AN67" s="3">
        <v>3013</v>
      </c>
      <c r="AO67" s="3">
        <v>3093</v>
      </c>
      <c r="AP67" s="3">
        <v>3248</v>
      </c>
      <c r="AQ67" s="3">
        <v>3179</v>
      </c>
      <c r="AR67" s="3">
        <v>3056</v>
      </c>
      <c r="AS67" s="3">
        <v>3143</v>
      </c>
      <c r="AT67" s="3">
        <v>3121</v>
      </c>
      <c r="AU67" s="3">
        <v>3110</v>
      </c>
      <c r="AW67" s="3">
        <f>MIN(O67:AU67)</f>
        <v>2770</v>
      </c>
      <c r="AX67" s="3">
        <f>MAX(O67:AU67)</f>
        <v>3248</v>
      </c>
      <c r="AY67" s="3">
        <f>AX67-AW67</f>
        <v>478</v>
      </c>
      <c r="AZ67" s="3">
        <f>AY67/AW67*100</f>
        <v>17.256317689530686</v>
      </c>
      <c r="BA67" s="3">
        <f>AY67/AX67*100</f>
        <v>14.716748768472906</v>
      </c>
    </row>
    <row r="68" spans="1:53" x14ac:dyDescent="0.15">
      <c r="A68" s="1" t="s">
        <v>27</v>
      </c>
      <c r="B68" s="3">
        <v>514</v>
      </c>
      <c r="C68" s="3">
        <v>498</v>
      </c>
      <c r="D68" s="3">
        <v>506</v>
      </c>
      <c r="E68" s="3">
        <v>507</v>
      </c>
      <c r="F68" s="3">
        <v>510</v>
      </c>
      <c r="G68" s="3">
        <v>510</v>
      </c>
      <c r="I68" s="3">
        <f>MIN(B68:G68)</f>
        <v>498</v>
      </c>
      <c r="J68" s="3">
        <f>MAX(B68:G68)</f>
        <v>514</v>
      </c>
      <c r="K68" s="3">
        <f>J68-I68</f>
        <v>16</v>
      </c>
      <c r="L68" s="3">
        <f>K68/I68*100</f>
        <v>3.2128514056224895</v>
      </c>
      <c r="M68" s="3">
        <f>K68/J68*100</f>
        <v>3.1128404669260701</v>
      </c>
      <c r="O68" s="3">
        <v>396</v>
      </c>
      <c r="P68" s="3">
        <v>391</v>
      </c>
      <c r="Q68" s="3">
        <v>386</v>
      </c>
      <c r="R68" s="3">
        <v>404</v>
      </c>
      <c r="S68" s="3">
        <v>387</v>
      </c>
      <c r="T68" s="3">
        <v>390</v>
      </c>
      <c r="U68" s="3">
        <v>396</v>
      </c>
      <c r="V68" s="3">
        <v>407</v>
      </c>
      <c r="W68" s="3">
        <v>396</v>
      </c>
      <c r="X68" s="3">
        <v>388</v>
      </c>
      <c r="Y68" s="3">
        <v>391</v>
      </c>
      <c r="Z68" s="3">
        <v>389</v>
      </c>
      <c r="AA68" s="3">
        <v>391</v>
      </c>
      <c r="AB68" s="3">
        <v>384</v>
      </c>
      <c r="AC68" s="3">
        <v>399</v>
      </c>
      <c r="AD68" s="3">
        <v>378</v>
      </c>
      <c r="AE68" s="3">
        <v>381</v>
      </c>
      <c r="AF68" s="3">
        <v>391</v>
      </c>
      <c r="AG68" s="3">
        <v>405</v>
      </c>
      <c r="AH68" s="3">
        <v>387</v>
      </c>
      <c r="AI68" s="3">
        <v>397</v>
      </c>
      <c r="AJ68" s="3">
        <v>384</v>
      </c>
      <c r="AK68" s="3">
        <v>387</v>
      </c>
      <c r="AL68" s="3">
        <v>389</v>
      </c>
      <c r="AM68" s="3">
        <v>377</v>
      </c>
      <c r="AN68" s="3">
        <v>385</v>
      </c>
      <c r="AO68" s="3">
        <v>389</v>
      </c>
      <c r="AP68" s="3">
        <v>404</v>
      </c>
      <c r="AQ68" s="3">
        <v>397</v>
      </c>
      <c r="AR68" s="3">
        <v>381</v>
      </c>
      <c r="AS68" s="3">
        <v>391</v>
      </c>
      <c r="AT68" s="3">
        <v>389</v>
      </c>
      <c r="AU68" s="3">
        <v>383</v>
      </c>
      <c r="AW68" s="3">
        <f>MIN(O68:AU68)</f>
        <v>377</v>
      </c>
      <c r="AX68" s="3">
        <f>MAX(O68:AU68)</f>
        <v>407</v>
      </c>
      <c r="AY68" s="3">
        <f>AX68-AW68</f>
        <v>30</v>
      </c>
      <c r="AZ68" s="3">
        <f>AY68/AW68*100</f>
        <v>7.957559681697612</v>
      </c>
      <c r="BA68" s="3">
        <f>AY68/AX68*100</f>
        <v>7.3710073710073711</v>
      </c>
    </row>
    <row r="69" spans="1:53" x14ac:dyDescent="0.15">
      <c r="A69" s="1" t="s">
        <v>28</v>
      </c>
      <c r="B69" s="3">
        <v>248</v>
      </c>
      <c r="C69" s="3">
        <v>247</v>
      </c>
      <c r="D69" s="3">
        <v>251</v>
      </c>
      <c r="E69" s="3">
        <v>260</v>
      </c>
      <c r="F69" s="3">
        <v>257</v>
      </c>
      <c r="G69" s="3">
        <v>246</v>
      </c>
      <c r="I69" s="3">
        <f>MIN(B69:G69)</f>
        <v>246</v>
      </c>
      <c r="J69" s="3">
        <f>MAX(B69:G69)</f>
        <v>260</v>
      </c>
      <c r="K69" s="3">
        <f>J69-I69</f>
        <v>14</v>
      </c>
      <c r="L69" s="3">
        <f>K69/I69*100</f>
        <v>5.6910569105691051</v>
      </c>
      <c r="M69" s="3">
        <f>K69/J69*100</f>
        <v>5.384615384615385</v>
      </c>
      <c r="O69" s="3">
        <v>196</v>
      </c>
      <c r="P69" s="3">
        <v>197</v>
      </c>
      <c r="Q69" s="3">
        <v>192</v>
      </c>
      <c r="R69" s="3">
        <v>201</v>
      </c>
      <c r="S69" s="3">
        <v>196</v>
      </c>
      <c r="T69" s="3">
        <v>194</v>
      </c>
      <c r="U69" s="3">
        <v>198</v>
      </c>
      <c r="V69" s="3">
        <v>201</v>
      </c>
      <c r="W69" s="3">
        <v>196</v>
      </c>
      <c r="X69" s="3">
        <v>194</v>
      </c>
      <c r="Y69" s="3">
        <v>189</v>
      </c>
      <c r="Z69" s="3">
        <v>194</v>
      </c>
      <c r="AA69" s="3">
        <v>189</v>
      </c>
      <c r="AB69" s="3">
        <v>192</v>
      </c>
      <c r="AC69" s="3">
        <v>201</v>
      </c>
      <c r="AD69" s="3">
        <v>189</v>
      </c>
      <c r="AE69" s="3">
        <v>185</v>
      </c>
      <c r="AF69" s="3">
        <v>196</v>
      </c>
      <c r="AG69" s="3">
        <v>197</v>
      </c>
      <c r="AH69" s="3">
        <v>187</v>
      </c>
      <c r="AI69" s="3">
        <v>198</v>
      </c>
      <c r="AJ69" s="3">
        <v>191</v>
      </c>
      <c r="AK69" s="3">
        <v>187</v>
      </c>
      <c r="AL69" s="3">
        <v>194</v>
      </c>
      <c r="AM69" s="3">
        <v>193</v>
      </c>
      <c r="AN69" s="3">
        <v>193</v>
      </c>
      <c r="AO69" s="3">
        <v>194</v>
      </c>
      <c r="AP69" s="3">
        <v>202</v>
      </c>
      <c r="AQ69" s="3">
        <v>198</v>
      </c>
      <c r="AR69" s="3">
        <v>185</v>
      </c>
      <c r="AS69" s="3">
        <v>195</v>
      </c>
      <c r="AT69" s="3">
        <v>194</v>
      </c>
      <c r="AU69" s="3">
        <v>187</v>
      </c>
      <c r="AW69" s="3">
        <f>MIN(O69:AU69)</f>
        <v>185</v>
      </c>
      <c r="AX69" s="3">
        <f>MAX(O69:AU69)</f>
        <v>202</v>
      </c>
      <c r="AY69" s="3">
        <f>AX69-AW69</f>
        <v>17</v>
      </c>
      <c r="AZ69" s="3">
        <f>AY69/AW69*100</f>
        <v>9.1891891891891895</v>
      </c>
      <c r="BA69" s="3">
        <f>AY69/AX69*100</f>
        <v>8.4158415841584162</v>
      </c>
    </row>
    <row r="76" spans="1:53" x14ac:dyDescent="0.15">
      <c r="A76" s="1" t="s">
        <v>0</v>
      </c>
      <c r="B76" s="2" t="s">
        <v>1</v>
      </c>
      <c r="C76" s="2" t="s">
        <v>2</v>
      </c>
      <c r="D76" s="2" t="s">
        <v>1</v>
      </c>
      <c r="E76" s="2" t="s">
        <v>2</v>
      </c>
      <c r="F76" s="2" t="s">
        <v>1</v>
      </c>
      <c r="G76" s="2" t="s">
        <v>2</v>
      </c>
      <c r="H76" s="2"/>
      <c r="I76" s="2"/>
      <c r="J76" s="2"/>
      <c r="K76" s="2"/>
      <c r="L76" s="2"/>
      <c r="M76" s="2"/>
      <c r="N76" s="2"/>
      <c r="O76" s="2" t="s">
        <v>3</v>
      </c>
      <c r="P76" s="2" t="s">
        <v>4</v>
      </c>
      <c r="Q76" s="2" t="s">
        <v>5</v>
      </c>
      <c r="R76" s="2" t="s">
        <v>6</v>
      </c>
      <c r="S76" s="2" t="s">
        <v>7</v>
      </c>
      <c r="T76" s="2" t="s">
        <v>8</v>
      </c>
      <c r="U76" s="2" t="s">
        <v>9</v>
      </c>
      <c r="V76" s="2" t="s">
        <v>10</v>
      </c>
      <c r="W76" s="2" t="s">
        <v>11</v>
      </c>
      <c r="X76" s="2" t="s">
        <v>12</v>
      </c>
      <c r="Y76" s="2" t="s">
        <v>13</v>
      </c>
      <c r="Z76" s="2" t="s">
        <v>3</v>
      </c>
      <c r="AA76" s="2" t="s">
        <v>4</v>
      </c>
      <c r="AB76" s="2" t="s">
        <v>5</v>
      </c>
      <c r="AC76" s="2" t="s">
        <v>6</v>
      </c>
      <c r="AD76" s="2" t="s">
        <v>7</v>
      </c>
      <c r="AE76" s="2" t="s">
        <v>8</v>
      </c>
      <c r="AF76" s="2" t="s">
        <v>9</v>
      </c>
      <c r="AG76" s="2" t="s">
        <v>10</v>
      </c>
      <c r="AH76" s="2" t="s">
        <v>11</v>
      </c>
      <c r="AI76" s="2" t="s">
        <v>12</v>
      </c>
      <c r="AJ76" s="2" t="s">
        <v>13</v>
      </c>
      <c r="AK76" s="2" t="s">
        <v>3</v>
      </c>
      <c r="AL76" s="2" t="s">
        <v>4</v>
      </c>
      <c r="AM76" s="2" t="s">
        <v>5</v>
      </c>
      <c r="AN76" s="2" t="s">
        <v>6</v>
      </c>
      <c r="AO76" s="2" t="s">
        <v>7</v>
      </c>
      <c r="AP76" s="2" t="s">
        <v>8</v>
      </c>
      <c r="AQ76" s="2" t="s">
        <v>9</v>
      </c>
      <c r="AR76" s="2" t="s">
        <v>10</v>
      </c>
      <c r="AS76" s="2" t="s">
        <v>11</v>
      </c>
      <c r="AT76" s="2" t="s">
        <v>12</v>
      </c>
      <c r="AU76" s="2" t="s">
        <v>13</v>
      </c>
      <c r="AV76" s="2"/>
      <c r="AW76" s="2"/>
      <c r="AX76" s="2"/>
      <c r="AY76" s="2"/>
      <c r="AZ76" s="2"/>
      <c r="BA76" s="2"/>
    </row>
    <row r="77" spans="1:53" x14ac:dyDescent="0.15">
      <c r="A77" s="1" t="s">
        <v>32</v>
      </c>
      <c r="B77" s="3">
        <v>8342</v>
      </c>
      <c r="C77" s="3">
        <v>8325</v>
      </c>
      <c r="D77" s="3">
        <v>8299</v>
      </c>
      <c r="E77" s="3">
        <v>8350</v>
      </c>
      <c r="F77" s="3">
        <v>8316</v>
      </c>
      <c r="G77" s="3">
        <v>8299</v>
      </c>
      <c r="I77" s="3">
        <f>MIN(B77:G77)</f>
        <v>8299</v>
      </c>
      <c r="J77" s="3">
        <f>MAX(B77:G77)</f>
        <v>8350</v>
      </c>
      <c r="K77" s="3">
        <f>J77-I77</f>
        <v>51</v>
      </c>
      <c r="L77" s="3">
        <f>K77/I77*100</f>
        <v>0.61453187130979636</v>
      </c>
      <c r="M77" s="3">
        <f>K77/J77*100</f>
        <v>0.61077844311377238</v>
      </c>
      <c r="O77" s="3">
        <v>3303</v>
      </c>
      <c r="P77" s="3">
        <v>3276</v>
      </c>
      <c r="Q77" s="3">
        <v>3188</v>
      </c>
      <c r="R77" s="3">
        <v>3368</v>
      </c>
      <c r="S77" s="3">
        <v>2984</v>
      </c>
      <c r="T77" s="3">
        <v>3287</v>
      </c>
      <c r="U77" s="3">
        <v>3286</v>
      </c>
      <c r="V77" s="3">
        <v>3349</v>
      </c>
      <c r="W77" s="3">
        <v>3289</v>
      </c>
      <c r="X77" s="3">
        <v>3216</v>
      </c>
      <c r="Y77" s="3">
        <v>3243</v>
      </c>
      <c r="Z77" s="3">
        <v>3265</v>
      </c>
      <c r="AA77" s="3">
        <v>3098</v>
      </c>
      <c r="AB77" s="3">
        <v>3200</v>
      </c>
      <c r="AC77" s="3">
        <v>3340</v>
      </c>
      <c r="AD77" s="3">
        <v>3139</v>
      </c>
      <c r="AE77" s="3">
        <v>3202</v>
      </c>
      <c r="AF77" s="3">
        <v>3255</v>
      </c>
      <c r="AG77" s="3">
        <v>3373</v>
      </c>
      <c r="AH77" s="3">
        <v>3326</v>
      </c>
      <c r="AI77" s="3">
        <v>3301</v>
      </c>
      <c r="AJ77" s="3">
        <v>3199</v>
      </c>
      <c r="AK77" s="3">
        <v>3213</v>
      </c>
      <c r="AL77" s="3">
        <v>3227</v>
      </c>
      <c r="AM77" s="3">
        <v>3253</v>
      </c>
      <c r="AN77" s="3">
        <v>3204</v>
      </c>
      <c r="AO77" s="3">
        <v>3237</v>
      </c>
      <c r="AP77" s="3">
        <v>3408</v>
      </c>
      <c r="AQ77" s="3">
        <v>3300</v>
      </c>
      <c r="AR77" s="3">
        <v>3150</v>
      </c>
      <c r="AS77" s="3">
        <v>3247</v>
      </c>
      <c r="AT77" s="3">
        <v>3240</v>
      </c>
      <c r="AU77" s="3">
        <v>3246</v>
      </c>
      <c r="AW77" s="3">
        <f>MIN(O77:AU77)</f>
        <v>2984</v>
      </c>
      <c r="AX77" s="3">
        <f>MAX(O77:AU77)</f>
        <v>3408</v>
      </c>
      <c r="AY77" s="3">
        <f>AX77-AW77</f>
        <v>424</v>
      </c>
      <c r="AZ77" s="3">
        <f>AY77/AW77*100</f>
        <v>14.209115281501342</v>
      </c>
      <c r="BA77" s="3">
        <f>AY77/AX77*100</f>
        <v>12.44131455399061</v>
      </c>
    </row>
    <row r="78" spans="1:53" x14ac:dyDescent="0.15">
      <c r="A78" s="1" t="s">
        <v>33</v>
      </c>
      <c r="B78" s="3">
        <v>1039</v>
      </c>
      <c r="C78" s="3">
        <v>1042</v>
      </c>
      <c r="D78" s="3">
        <v>1034</v>
      </c>
      <c r="E78" s="3">
        <v>1035</v>
      </c>
      <c r="F78" s="3">
        <v>1043</v>
      </c>
      <c r="G78" s="3">
        <v>927</v>
      </c>
      <c r="I78" s="3">
        <f>MIN(B78:G78)</f>
        <v>927</v>
      </c>
      <c r="J78" s="3">
        <f>MAX(B78:G78)</f>
        <v>1043</v>
      </c>
      <c r="K78" s="3">
        <f>J78-I78</f>
        <v>116</v>
      </c>
      <c r="L78" s="3">
        <f>K78/I78*100</f>
        <v>12.513484358144552</v>
      </c>
      <c r="M78" s="3">
        <f>K78/J78*100</f>
        <v>11.121764141898369</v>
      </c>
      <c r="O78" s="3">
        <v>413</v>
      </c>
      <c r="P78" s="3">
        <v>410</v>
      </c>
      <c r="Q78" s="3">
        <v>398</v>
      </c>
      <c r="R78" s="3">
        <v>420</v>
      </c>
      <c r="S78" s="3">
        <v>411</v>
      </c>
      <c r="T78" s="3">
        <v>407</v>
      </c>
      <c r="U78" s="3">
        <v>412</v>
      </c>
      <c r="V78" s="3">
        <v>423</v>
      </c>
      <c r="W78" s="3">
        <v>410</v>
      </c>
      <c r="X78" s="3">
        <v>401</v>
      </c>
      <c r="Y78" s="3">
        <v>405</v>
      </c>
      <c r="Z78" s="3">
        <v>408</v>
      </c>
      <c r="AA78" s="3">
        <v>405</v>
      </c>
      <c r="AB78" s="3">
        <v>400</v>
      </c>
      <c r="AC78" s="3">
        <v>417</v>
      </c>
      <c r="AD78" s="3">
        <v>388</v>
      </c>
      <c r="AE78" s="3">
        <v>371</v>
      </c>
      <c r="AF78" s="3">
        <v>403</v>
      </c>
      <c r="AG78" s="3">
        <v>422</v>
      </c>
      <c r="AH78" s="3">
        <v>416</v>
      </c>
      <c r="AI78" s="3">
        <v>412</v>
      </c>
      <c r="AJ78" s="3">
        <v>400</v>
      </c>
      <c r="AK78" s="3">
        <v>402</v>
      </c>
      <c r="AL78" s="3">
        <v>400</v>
      </c>
      <c r="AM78" s="3">
        <v>407</v>
      </c>
      <c r="AN78" s="3">
        <v>400</v>
      </c>
      <c r="AO78" s="3">
        <v>405</v>
      </c>
      <c r="AP78" s="3">
        <v>425</v>
      </c>
      <c r="AQ78" s="3">
        <v>409</v>
      </c>
      <c r="AR78" s="3">
        <v>394</v>
      </c>
      <c r="AS78" s="3">
        <v>405</v>
      </c>
      <c r="AT78" s="3">
        <v>405</v>
      </c>
      <c r="AU78" s="3">
        <v>406</v>
      </c>
      <c r="AW78" s="3">
        <f>MIN(O78:AU78)</f>
        <v>371</v>
      </c>
      <c r="AX78" s="3">
        <f>MAX(O78:AU78)</f>
        <v>425</v>
      </c>
      <c r="AY78" s="3">
        <f>AX78-AW78</f>
        <v>54</v>
      </c>
      <c r="AZ78" s="3">
        <f>AY78/AW78*100</f>
        <v>14.555256064690028</v>
      </c>
      <c r="BA78" s="3">
        <f>AY78/AX78*100</f>
        <v>12.705882352941176</v>
      </c>
    </row>
    <row r="79" spans="1:53" x14ac:dyDescent="0.15">
      <c r="A79" s="1" t="s">
        <v>34</v>
      </c>
      <c r="B79" s="3">
        <v>522</v>
      </c>
      <c r="C79" s="3">
        <v>522</v>
      </c>
      <c r="D79" s="3">
        <v>519</v>
      </c>
      <c r="E79" s="3">
        <v>519</v>
      </c>
      <c r="F79" s="3">
        <v>520</v>
      </c>
      <c r="G79" s="3">
        <v>520</v>
      </c>
      <c r="I79" s="3">
        <f>MIN(B79:G79)</f>
        <v>519</v>
      </c>
      <c r="J79" s="3">
        <f>MAX(B79:G79)</f>
        <v>522</v>
      </c>
      <c r="K79" s="3">
        <f>J79-I79</f>
        <v>3</v>
      </c>
      <c r="L79" s="3">
        <f>K79/I79*100</f>
        <v>0.57803468208092479</v>
      </c>
      <c r="M79" s="3">
        <f>K79/J79*100</f>
        <v>0.57471264367816088</v>
      </c>
      <c r="O79" s="3">
        <v>192</v>
      </c>
      <c r="P79" s="3">
        <v>205</v>
      </c>
      <c r="Q79" s="3">
        <v>199</v>
      </c>
      <c r="R79" s="3">
        <v>210</v>
      </c>
      <c r="S79" s="3">
        <v>205</v>
      </c>
      <c r="T79" s="3">
        <v>205</v>
      </c>
      <c r="U79" s="3">
        <v>206</v>
      </c>
      <c r="V79" s="3">
        <v>212</v>
      </c>
      <c r="W79" s="3">
        <v>205</v>
      </c>
      <c r="X79" s="3">
        <v>201</v>
      </c>
      <c r="Y79" s="3">
        <v>202</v>
      </c>
      <c r="Z79" s="3">
        <v>203</v>
      </c>
      <c r="AA79" s="3">
        <v>202</v>
      </c>
      <c r="AB79" s="3">
        <v>198</v>
      </c>
      <c r="AC79" s="3">
        <v>208</v>
      </c>
      <c r="AD79" s="3">
        <v>196</v>
      </c>
      <c r="AE79" s="3">
        <v>200</v>
      </c>
      <c r="AF79" s="3">
        <v>203</v>
      </c>
      <c r="AG79" s="3">
        <v>210</v>
      </c>
      <c r="AH79" s="3">
        <v>207</v>
      </c>
      <c r="AI79" s="3">
        <v>206</v>
      </c>
      <c r="AJ79" s="3">
        <v>200</v>
      </c>
      <c r="AK79" s="3">
        <v>201</v>
      </c>
      <c r="AL79" s="3">
        <v>202</v>
      </c>
      <c r="AM79" s="3">
        <v>203</v>
      </c>
      <c r="AN79" s="3">
        <v>200</v>
      </c>
      <c r="AO79" s="3">
        <v>201</v>
      </c>
      <c r="AP79" s="3">
        <v>213</v>
      </c>
      <c r="AQ79" s="3">
        <v>206</v>
      </c>
      <c r="AR79" s="3">
        <v>197</v>
      </c>
      <c r="AS79" s="3">
        <v>203</v>
      </c>
      <c r="AT79" s="3">
        <v>203</v>
      </c>
      <c r="AU79" s="3">
        <v>203</v>
      </c>
      <c r="AW79" s="3">
        <f>MIN(O79:AU79)</f>
        <v>192</v>
      </c>
      <c r="AX79" s="3">
        <f>MAX(O79:AU79)</f>
        <v>213</v>
      </c>
      <c r="AY79" s="3">
        <f>AX79-AW79</f>
        <v>21</v>
      </c>
      <c r="AZ79" s="3">
        <f>AY79/AW79*100</f>
        <v>10.9375</v>
      </c>
      <c r="BA79" s="3">
        <f>AY79/AX79*100</f>
        <v>9.8591549295774641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1"/>
  <sheetViews>
    <sheetView zoomScaleNormal="100" workbookViewId="0">
      <selection activeCell="D16" sqref="D16"/>
    </sheetView>
  </sheetViews>
  <sheetFormatPr defaultRowHeight="13.5" x14ac:dyDescent="0.15"/>
  <cols>
    <col min="1" max="1" width="22" style="3" bestFit="1" customWidth="1"/>
    <col min="2" max="7" width="4.5" style="3" bestFit="1" customWidth="1"/>
    <col min="8" max="10" width="4.5" style="3" customWidth="1"/>
    <col min="11" max="11" width="5.5" style="3" bestFit="1" customWidth="1"/>
    <col min="12" max="13" width="12.75" style="3" bestFit="1" customWidth="1"/>
    <col min="14" max="14" width="11.625" style="3" customWidth="1"/>
    <col min="15" max="47" width="6.5" style="3" bestFit="1" customWidth="1"/>
    <col min="48" max="48" width="9" style="3"/>
    <col min="49" max="51" width="6.5" style="3" bestFit="1" customWidth="1"/>
    <col min="52" max="53" width="12.75" style="3" bestFit="1" customWidth="1"/>
    <col min="54" max="16384" width="9" style="3"/>
  </cols>
  <sheetData>
    <row r="1" spans="1:53" x14ac:dyDescent="0.15">
      <c r="A1" s="5" t="s">
        <v>38</v>
      </c>
      <c r="I1" s="6" t="s">
        <v>40</v>
      </c>
      <c r="J1" s="6" t="s">
        <v>41</v>
      </c>
      <c r="K1" s="6" t="s">
        <v>42</v>
      </c>
      <c r="L1" s="6" t="s">
        <v>44</v>
      </c>
      <c r="M1" s="6" t="s">
        <v>43</v>
      </c>
      <c r="N1" s="6"/>
    </row>
    <row r="2" spans="1:53" x14ac:dyDescent="0.15">
      <c r="A2" s="4" t="s">
        <v>0</v>
      </c>
      <c r="B2" s="2" t="s">
        <v>1</v>
      </c>
      <c r="C2" s="2" t="s">
        <v>2</v>
      </c>
      <c r="D2" s="2" t="s">
        <v>1</v>
      </c>
      <c r="E2" s="2" t="s">
        <v>2</v>
      </c>
      <c r="F2" s="2" t="s">
        <v>1</v>
      </c>
      <c r="G2" s="2" t="s">
        <v>2</v>
      </c>
      <c r="H2" s="2"/>
      <c r="I2" s="2"/>
      <c r="J2" s="2"/>
      <c r="K2" s="2"/>
      <c r="L2" s="2"/>
      <c r="M2" s="2"/>
      <c r="N2" s="2"/>
      <c r="O2" s="2" t="s">
        <v>3</v>
      </c>
      <c r="P2" s="2" t="s">
        <v>4</v>
      </c>
      <c r="Q2" s="2" t="s">
        <v>5</v>
      </c>
      <c r="R2" s="2" t="s">
        <v>6</v>
      </c>
      <c r="S2" s="2" t="s">
        <v>7</v>
      </c>
      <c r="T2" s="2" t="s">
        <v>8</v>
      </c>
      <c r="U2" s="2" t="s">
        <v>9</v>
      </c>
      <c r="V2" s="2" t="s">
        <v>10</v>
      </c>
      <c r="W2" s="2" t="s">
        <v>11</v>
      </c>
      <c r="X2" s="2" t="s">
        <v>12</v>
      </c>
      <c r="Y2" s="2" t="s">
        <v>13</v>
      </c>
      <c r="Z2" s="2" t="s">
        <v>3</v>
      </c>
      <c r="AA2" s="2" t="s">
        <v>4</v>
      </c>
      <c r="AB2" s="2" t="s">
        <v>5</v>
      </c>
      <c r="AC2" s="2" t="s">
        <v>6</v>
      </c>
      <c r="AD2" s="2" t="s">
        <v>7</v>
      </c>
      <c r="AE2" s="2" t="s">
        <v>8</v>
      </c>
      <c r="AF2" s="2" t="s">
        <v>9</v>
      </c>
      <c r="AG2" s="2" t="s">
        <v>10</v>
      </c>
      <c r="AH2" s="2" t="s">
        <v>11</v>
      </c>
      <c r="AI2" s="2" t="s">
        <v>12</v>
      </c>
      <c r="AJ2" s="2" t="s">
        <v>13</v>
      </c>
      <c r="AK2" s="2" t="s">
        <v>3</v>
      </c>
      <c r="AL2" s="2" t="s">
        <v>4</v>
      </c>
      <c r="AM2" s="2" t="s">
        <v>5</v>
      </c>
      <c r="AN2" s="2" t="s">
        <v>6</v>
      </c>
      <c r="AO2" s="2" t="s">
        <v>7</v>
      </c>
      <c r="AP2" s="2" t="s">
        <v>8</v>
      </c>
      <c r="AQ2" s="2" t="s">
        <v>9</v>
      </c>
      <c r="AR2" s="2" t="s">
        <v>10</v>
      </c>
      <c r="AS2" s="2" t="s">
        <v>11</v>
      </c>
      <c r="AT2" s="2" t="s">
        <v>12</v>
      </c>
      <c r="AU2" s="2" t="s">
        <v>13</v>
      </c>
      <c r="AW2" s="6" t="s">
        <v>40</v>
      </c>
      <c r="AX2" s="6" t="s">
        <v>41</v>
      </c>
      <c r="AY2" s="6" t="s">
        <v>42</v>
      </c>
      <c r="AZ2" s="6" t="s">
        <v>44</v>
      </c>
      <c r="BA2" s="6" t="s">
        <v>43</v>
      </c>
    </row>
    <row r="3" spans="1:53" x14ac:dyDescent="0.15">
      <c r="A3" s="4" t="s">
        <v>17</v>
      </c>
      <c r="B3" s="3">
        <v>249</v>
      </c>
      <c r="C3" s="3">
        <v>249</v>
      </c>
      <c r="D3" s="3">
        <v>252</v>
      </c>
      <c r="E3" s="3">
        <v>251</v>
      </c>
      <c r="F3" s="3">
        <v>248</v>
      </c>
      <c r="G3" s="3">
        <v>233</v>
      </c>
      <c r="I3" s="3">
        <f>MIN(B3:G3)</f>
        <v>233</v>
      </c>
      <c r="J3" s="3">
        <f>MAX(B3:G3)</f>
        <v>252</v>
      </c>
      <c r="K3" s="3">
        <f>J3-I3</f>
        <v>19</v>
      </c>
      <c r="L3" s="3">
        <f>K3/I3*100</f>
        <v>8.1545064377682408</v>
      </c>
      <c r="M3" s="3">
        <f>K3/J3*100</f>
        <v>7.5396825396825395</v>
      </c>
      <c r="O3" s="3">
        <v>1.5589999999999999</v>
      </c>
      <c r="P3" s="3">
        <v>1.56</v>
      </c>
      <c r="Q3" s="3">
        <v>1.583</v>
      </c>
      <c r="R3" s="3">
        <v>1.58</v>
      </c>
      <c r="S3" s="3">
        <v>1.6759999999999999</v>
      </c>
      <c r="T3" s="3">
        <v>1.5429999999999999</v>
      </c>
      <c r="U3" s="3">
        <v>1.62</v>
      </c>
      <c r="V3" s="3">
        <v>1.716</v>
      </c>
      <c r="W3" s="3">
        <v>1.702</v>
      </c>
      <c r="X3" s="3">
        <v>1.5049999999999999</v>
      </c>
      <c r="Y3" s="3">
        <v>1.5469999999999999</v>
      </c>
      <c r="Z3" s="3">
        <v>1.577</v>
      </c>
      <c r="AA3" s="3">
        <v>1.7509999999999999</v>
      </c>
      <c r="AB3" s="3">
        <v>1.607</v>
      </c>
      <c r="AC3" s="3">
        <v>1.7310000000000001</v>
      </c>
      <c r="AD3" s="3">
        <v>1.43</v>
      </c>
      <c r="AE3" s="3">
        <v>1.62</v>
      </c>
      <c r="AF3" s="3">
        <v>1.6990000000000001</v>
      </c>
      <c r="AG3" s="3">
        <v>1.6020000000000001</v>
      </c>
      <c r="AH3" s="3">
        <v>1.573</v>
      </c>
      <c r="AI3" s="3">
        <v>1.5349999999999999</v>
      </c>
      <c r="AJ3" s="3">
        <v>1.629</v>
      </c>
      <c r="AK3" s="3">
        <v>1.6220000000000001</v>
      </c>
      <c r="AL3" s="3">
        <v>1.6950000000000001</v>
      </c>
      <c r="AM3" s="3">
        <v>1.643</v>
      </c>
      <c r="AN3" s="3">
        <v>1.617</v>
      </c>
      <c r="AO3" s="3">
        <v>1.591</v>
      </c>
      <c r="AP3" s="3">
        <v>1.663</v>
      </c>
      <c r="AQ3" s="3">
        <v>1.65</v>
      </c>
      <c r="AR3" s="3">
        <v>1.615</v>
      </c>
      <c r="AS3" s="3">
        <v>1.524</v>
      </c>
      <c r="AT3" s="3">
        <v>1.6870000000000001</v>
      </c>
      <c r="AU3" s="3">
        <v>1.73</v>
      </c>
      <c r="AW3" s="3">
        <f>MIN(O3:AU3)</f>
        <v>1.43</v>
      </c>
      <c r="AX3" s="3">
        <f>MAX(O3:AU3)</f>
        <v>1.7509999999999999</v>
      </c>
      <c r="AY3" s="3">
        <f>AX3-AW3</f>
        <v>0.32099999999999995</v>
      </c>
      <c r="AZ3" s="3">
        <f>AY3/AW3*100</f>
        <v>22.447552447552447</v>
      </c>
      <c r="BA3" s="3">
        <f>AY3/AX3*100</f>
        <v>18.332381496287834</v>
      </c>
    </row>
    <row r="4" spans="1:53" x14ac:dyDescent="0.15">
      <c r="A4" s="4" t="s">
        <v>18</v>
      </c>
      <c r="B4" s="3">
        <v>335</v>
      </c>
      <c r="C4" s="3">
        <v>337</v>
      </c>
      <c r="D4" s="3">
        <v>347</v>
      </c>
      <c r="E4" s="3">
        <v>330</v>
      </c>
      <c r="F4" s="3">
        <v>320</v>
      </c>
      <c r="G4" s="3">
        <v>327</v>
      </c>
      <c r="I4" s="3">
        <f>MIN(B4:G4)</f>
        <v>320</v>
      </c>
      <c r="J4" s="3">
        <f>MAX(B4:G4)</f>
        <v>347</v>
      </c>
      <c r="K4" s="3">
        <f>J4-I4</f>
        <v>27</v>
      </c>
      <c r="L4" s="3">
        <f>K4/I4*100</f>
        <v>8.4375</v>
      </c>
      <c r="M4" s="3">
        <f>K4/J4*100</f>
        <v>7.7809798270893378</v>
      </c>
      <c r="O4" s="3">
        <v>3.1949999999999998</v>
      </c>
      <c r="P4" s="3">
        <v>3.1949999999999998</v>
      </c>
      <c r="Q4" s="3">
        <v>3.23</v>
      </c>
      <c r="R4" s="3">
        <v>3.2349999999999999</v>
      </c>
      <c r="S4" s="3">
        <v>3.3839999999999999</v>
      </c>
      <c r="T4" s="3">
        <v>3.0830000000000002</v>
      </c>
      <c r="U4" s="3">
        <v>3.274</v>
      </c>
      <c r="V4" s="3">
        <v>3.45</v>
      </c>
      <c r="W4" s="3">
        <v>3.4390000000000001</v>
      </c>
      <c r="X4" s="3">
        <v>3.0870000000000002</v>
      </c>
      <c r="Y4" s="3">
        <v>3.125</v>
      </c>
      <c r="Z4" s="3">
        <v>3.1680000000000001</v>
      </c>
      <c r="AA4" s="3">
        <v>3.5409999999999999</v>
      </c>
      <c r="AB4" s="3">
        <v>3.2469999999999999</v>
      </c>
      <c r="AC4" s="3">
        <v>3.4750000000000001</v>
      </c>
      <c r="AD4" s="3">
        <v>2.8969999999999998</v>
      </c>
      <c r="AE4" s="3">
        <v>3.23</v>
      </c>
      <c r="AF4" s="3">
        <v>3.4540000000000002</v>
      </c>
      <c r="AG4" s="3">
        <v>3.2320000000000002</v>
      </c>
      <c r="AH4" s="3">
        <v>3.13</v>
      </c>
      <c r="AI4" s="3">
        <v>3.0939999999999999</v>
      </c>
      <c r="AJ4" s="3">
        <v>3.2759999999999998</v>
      </c>
      <c r="AK4" s="3">
        <v>3.2789999999999999</v>
      </c>
      <c r="AL4" s="3">
        <v>3.5150000000000001</v>
      </c>
      <c r="AM4" s="3">
        <v>3.3559999999999999</v>
      </c>
      <c r="AN4" s="3">
        <v>3.3210000000000002</v>
      </c>
      <c r="AO4" s="3">
        <v>3.1659999999999999</v>
      </c>
      <c r="AP4" s="3">
        <v>3.3220000000000001</v>
      </c>
      <c r="AQ4" s="3">
        <v>3.3479999999999999</v>
      </c>
      <c r="AR4" s="3">
        <v>3.278</v>
      </c>
      <c r="AS4" s="3">
        <v>3.0339999999999998</v>
      </c>
      <c r="AT4" s="3">
        <v>3.4009999999999998</v>
      </c>
      <c r="AU4" s="3">
        <v>3.573</v>
      </c>
      <c r="AW4" s="3">
        <f>MIN(O4:AU4)</f>
        <v>2.8969999999999998</v>
      </c>
      <c r="AX4" s="3">
        <f>MAX(O4:AU4)</f>
        <v>3.573</v>
      </c>
      <c r="AY4" s="3">
        <f>AX4-AW4</f>
        <v>0.67600000000000016</v>
      </c>
      <c r="AZ4" s="3">
        <f>AY4/AW4*100</f>
        <v>23.334483948912677</v>
      </c>
      <c r="BA4" s="3">
        <f>AY4/AX4*100</f>
        <v>18.919675342849153</v>
      </c>
    </row>
    <row r="5" spans="1:53" x14ac:dyDescent="0.15">
      <c r="A5" s="4" t="s">
        <v>19</v>
      </c>
      <c r="B5" s="3">
        <v>451</v>
      </c>
      <c r="C5" s="3">
        <v>453</v>
      </c>
      <c r="D5" s="3">
        <v>467</v>
      </c>
      <c r="E5" s="3">
        <v>435</v>
      </c>
      <c r="F5" s="3">
        <v>406</v>
      </c>
      <c r="G5" s="3">
        <v>453</v>
      </c>
      <c r="I5" s="3">
        <f>MIN(B5:G5)</f>
        <v>406</v>
      </c>
      <c r="J5" s="3">
        <f>MAX(B5:G5)</f>
        <v>467</v>
      </c>
      <c r="K5" s="3">
        <f>J5-I5</f>
        <v>61</v>
      </c>
      <c r="L5" s="3">
        <f>K5/I5*100</f>
        <v>15.024630541871922</v>
      </c>
      <c r="M5" s="3">
        <f>K5/J5*100</f>
        <v>13.062098501070663</v>
      </c>
      <c r="O5" s="3">
        <v>25.1</v>
      </c>
      <c r="P5" s="3">
        <v>23</v>
      </c>
      <c r="Q5" s="3">
        <v>24.4</v>
      </c>
      <c r="R5" s="3">
        <v>25.2</v>
      </c>
      <c r="S5" s="3">
        <v>25.7</v>
      </c>
      <c r="T5" s="3">
        <v>23.5</v>
      </c>
      <c r="U5" s="3">
        <v>25.8</v>
      </c>
      <c r="V5" s="3">
        <v>26.6</v>
      </c>
      <c r="W5" s="3">
        <v>26.5</v>
      </c>
      <c r="X5" s="3">
        <v>24.8</v>
      </c>
      <c r="Y5" s="3">
        <v>24.9</v>
      </c>
      <c r="Z5" s="3">
        <v>24</v>
      </c>
      <c r="AA5" s="3">
        <v>27</v>
      </c>
      <c r="AB5" s="3">
        <v>24.9</v>
      </c>
      <c r="AC5" s="3">
        <v>27.8</v>
      </c>
      <c r="AD5" s="3">
        <v>23.2</v>
      </c>
      <c r="AE5" s="3">
        <v>24.8</v>
      </c>
      <c r="AF5" s="3">
        <v>26.7</v>
      </c>
      <c r="AG5" s="3">
        <v>25.1</v>
      </c>
      <c r="AH5" s="3">
        <v>24.9</v>
      </c>
      <c r="AI5" s="3">
        <v>23.6</v>
      </c>
      <c r="AJ5" s="3">
        <v>24.7</v>
      </c>
      <c r="AK5" s="3">
        <v>24.9</v>
      </c>
      <c r="AL5" s="3">
        <v>26.9</v>
      </c>
      <c r="AM5" s="3">
        <v>25.7</v>
      </c>
      <c r="AN5" s="3">
        <v>25.3</v>
      </c>
      <c r="AO5" s="3">
        <v>24.9</v>
      </c>
      <c r="AP5" s="3">
        <v>25.5</v>
      </c>
      <c r="AQ5" s="3">
        <v>25.3</v>
      </c>
      <c r="AR5" s="3">
        <v>25.7</v>
      </c>
      <c r="AS5" s="3">
        <v>23.5</v>
      </c>
      <c r="AT5" s="3">
        <v>25.5</v>
      </c>
      <c r="AU5" s="3">
        <v>28.1</v>
      </c>
      <c r="AW5" s="3">
        <f>MIN(O5:AU5)</f>
        <v>23</v>
      </c>
      <c r="AX5" s="3">
        <f>MAX(O5:AU5)</f>
        <v>28.1</v>
      </c>
      <c r="AY5" s="3">
        <f>AX5-AW5</f>
        <v>5.1000000000000014</v>
      </c>
      <c r="AZ5" s="3">
        <f>AY5/AW5*100</f>
        <v>22.173913043478265</v>
      </c>
      <c r="BA5" s="3">
        <f>AY5/AX5*100</f>
        <v>18.149466192170824</v>
      </c>
    </row>
    <row r="7" spans="1:53" x14ac:dyDescent="0.15">
      <c r="A7" s="4" t="s">
        <v>0</v>
      </c>
      <c r="B7" s="2" t="s">
        <v>1</v>
      </c>
      <c r="C7" s="2" t="s">
        <v>2</v>
      </c>
      <c r="D7" s="2" t="s">
        <v>1</v>
      </c>
      <c r="E7" s="2" t="s">
        <v>2</v>
      </c>
      <c r="F7" s="2" t="s">
        <v>1</v>
      </c>
      <c r="G7" s="2" t="s">
        <v>2</v>
      </c>
      <c r="H7" s="2"/>
      <c r="I7" s="2"/>
      <c r="J7" s="2"/>
      <c r="K7" s="2"/>
      <c r="L7" s="2"/>
      <c r="M7" s="2"/>
      <c r="N7" s="2"/>
      <c r="O7" s="2" t="s">
        <v>3</v>
      </c>
      <c r="P7" s="2" t="s">
        <v>4</v>
      </c>
      <c r="Q7" s="2" t="s">
        <v>5</v>
      </c>
      <c r="R7" s="2" t="s">
        <v>6</v>
      </c>
      <c r="S7" s="2" t="s">
        <v>7</v>
      </c>
      <c r="T7" s="2" t="s">
        <v>8</v>
      </c>
      <c r="U7" s="2" t="s">
        <v>9</v>
      </c>
      <c r="V7" s="2" t="s">
        <v>10</v>
      </c>
      <c r="W7" s="2" t="s">
        <v>11</v>
      </c>
      <c r="X7" s="2" t="s">
        <v>12</v>
      </c>
      <c r="Y7" s="2" t="s">
        <v>13</v>
      </c>
      <c r="Z7" s="2" t="s">
        <v>3</v>
      </c>
      <c r="AA7" s="2" t="s">
        <v>4</v>
      </c>
      <c r="AB7" s="2" t="s">
        <v>5</v>
      </c>
      <c r="AC7" s="2" t="s">
        <v>6</v>
      </c>
      <c r="AD7" s="2" t="s">
        <v>7</v>
      </c>
      <c r="AE7" s="2" t="s">
        <v>8</v>
      </c>
      <c r="AF7" s="2" t="s">
        <v>9</v>
      </c>
      <c r="AG7" s="2" t="s">
        <v>10</v>
      </c>
      <c r="AH7" s="2" t="s">
        <v>11</v>
      </c>
      <c r="AI7" s="2" t="s">
        <v>12</v>
      </c>
      <c r="AJ7" s="2" t="s">
        <v>13</v>
      </c>
      <c r="AK7" s="2" t="s">
        <v>3</v>
      </c>
      <c r="AL7" s="2" t="s">
        <v>4</v>
      </c>
      <c r="AM7" s="2" t="s">
        <v>5</v>
      </c>
      <c r="AN7" s="2" t="s">
        <v>6</v>
      </c>
      <c r="AO7" s="2" t="s">
        <v>7</v>
      </c>
      <c r="AP7" s="2" t="s">
        <v>8</v>
      </c>
      <c r="AQ7" s="2" t="s">
        <v>9</v>
      </c>
      <c r="AR7" s="2" t="s">
        <v>10</v>
      </c>
      <c r="AS7" s="2" t="s">
        <v>11</v>
      </c>
      <c r="AT7" s="2" t="s">
        <v>12</v>
      </c>
      <c r="AU7" s="2" t="s">
        <v>13</v>
      </c>
    </row>
    <row r="8" spans="1:53" x14ac:dyDescent="0.15">
      <c r="A8" s="4" t="s">
        <v>23</v>
      </c>
      <c r="B8" s="3">
        <v>312</v>
      </c>
      <c r="C8" s="3">
        <v>313</v>
      </c>
      <c r="D8" s="3">
        <v>311</v>
      </c>
      <c r="E8" s="3">
        <v>303</v>
      </c>
      <c r="F8" s="3">
        <v>313</v>
      </c>
      <c r="G8" s="3">
        <v>305</v>
      </c>
      <c r="I8" s="3">
        <f>MIN(B8:G8)</f>
        <v>303</v>
      </c>
      <c r="J8" s="3">
        <f>MAX(B8:G8)</f>
        <v>313</v>
      </c>
      <c r="K8" s="3">
        <f>J8-I8</f>
        <v>10</v>
      </c>
      <c r="L8" s="3">
        <f>K8/I8*100</f>
        <v>3.3003300330032999</v>
      </c>
      <c r="M8" s="3">
        <f>K8/J8*100</f>
        <v>3.1948881789137378</v>
      </c>
      <c r="O8" s="3">
        <v>2.0579999999999998</v>
      </c>
      <c r="P8" s="3">
        <v>2.0720000000000001</v>
      </c>
      <c r="Q8" s="3">
        <v>2.06</v>
      </c>
      <c r="R8" s="3">
        <v>2.0779999999999998</v>
      </c>
      <c r="S8" s="3">
        <v>2.085</v>
      </c>
      <c r="T8" s="3">
        <v>2.0649999999999999</v>
      </c>
      <c r="U8" s="3">
        <v>2.0710000000000002</v>
      </c>
      <c r="V8" s="3">
        <v>2.0870000000000002</v>
      </c>
      <c r="W8" s="3">
        <v>2.0760000000000001</v>
      </c>
      <c r="X8" s="3">
        <v>1.9670000000000001</v>
      </c>
      <c r="Y8" s="3">
        <v>1.9850000000000001</v>
      </c>
      <c r="Z8" s="3">
        <v>2.0760000000000001</v>
      </c>
      <c r="AA8" s="3">
        <v>2.036</v>
      </c>
      <c r="AB8" s="3">
        <v>2.0619999999999998</v>
      </c>
      <c r="AC8" s="3">
        <v>2.0819999999999999</v>
      </c>
      <c r="AD8" s="3">
        <v>2.056</v>
      </c>
      <c r="AE8" s="3">
        <v>2.0739999999999998</v>
      </c>
      <c r="AF8" s="3">
        <v>2.0720000000000001</v>
      </c>
      <c r="AG8" s="3">
        <v>2.08</v>
      </c>
      <c r="AH8" s="3">
        <v>2.0699999999999998</v>
      </c>
      <c r="AI8" s="3">
        <v>2.073</v>
      </c>
      <c r="AJ8" s="3">
        <v>2.0670000000000002</v>
      </c>
      <c r="AK8" s="3">
        <v>2.0720000000000001</v>
      </c>
      <c r="AL8" s="3">
        <v>2.0419999999999998</v>
      </c>
      <c r="AM8" s="3">
        <v>2.0859999999999999</v>
      </c>
      <c r="AN8" s="3">
        <v>2.0720000000000001</v>
      </c>
      <c r="AO8" s="3">
        <v>2.0750000000000002</v>
      </c>
      <c r="AP8" s="3">
        <v>2.0550000000000002</v>
      </c>
      <c r="AQ8" s="3">
        <v>2.0779999999999998</v>
      </c>
      <c r="AR8" s="3">
        <v>2.0590000000000002</v>
      </c>
      <c r="AS8" s="3">
        <v>2.0699999999999998</v>
      </c>
      <c r="AT8" s="3">
        <v>2.0790000000000002</v>
      </c>
      <c r="AU8" s="3">
        <v>2.0030000000000001</v>
      </c>
      <c r="AW8" s="3">
        <f>MIN(O8:AU8)</f>
        <v>1.9670000000000001</v>
      </c>
      <c r="AX8" s="3">
        <f>MAX(O8:AU8)</f>
        <v>2.0870000000000002</v>
      </c>
      <c r="AY8" s="3">
        <f>AX8-AW8</f>
        <v>0.12000000000000011</v>
      </c>
      <c r="AZ8" s="3">
        <f>AY8/AW8*100</f>
        <v>6.1006609049313729</v>
      </c>
      <c r="BA8" s="3">
        <f>AY8/AX8*100</f>
        <v>5.7498802108289455</v>
      </c>
    </row>
    <row r="9" spans="1:53" x14ac:dyDescent="0.15">
      <c r="A9" s="4" t="s">
        <v>24</v>
      </c>
      <c r="B9" s="3">
        <v>383</v>
      </c>
      <c r="C9" s="3">
        <v>384</v>
      </c>
      <c r="D9" s="3">
        <v>386</v>
      </c>
      <c r="E9" s="3">
        <v>371</v>
      </c>
      <c r="F9" s="3">
        <v>381</v>
      </c>
      <c r="G9" s="3">
        <v>382</v>
      </c>
      <c r="I9" s="3">
        <f>MIN(B9:G9)</f>
        <v>371</v>
      </c>
      <c r="J9" s="3">
        <f>MAX(B9:G9)</f>
        <v>386</v>
      </c>
      <c r="K9" s="3">
        <f>J9-I9</f>
        <v>15</v>
      </c>
      <c r="L9" s="3">
        <f>K9/I9*100</f>
        <v>4.0431266846361185</v>
      </c>
      <c r="M9" s="3">
        <f>K9/J9*100</f>
        <v>3.8860103626943006</v>
      </c>
      <c r="O9" s="3">
        <v>4.0919999999999996</v>
      </c>
      <c r="P9" s="3">
        <v>4.1109999999999998</v>
      </c>
      <c r="Q9" s="3">
        <v>4.0949999999999998</v>
      </c>
      <c r="R9" s="3">
        <v>4.141</v>
      </c>
      <c r="S9" s="3">
        <v>4.1289999999999996</v>
      </c>
      <c r="T9" s="3">
        <v>4.1260000000000003</v>
      </c>
      <c r="U9" s="3">
        <v>4.117</v>
      </c>
      <c r="V9" s="3">
        <v>4.1529999999999996</v>
      </c>
      <c r="W9" s="3">
        <v>4.1280000000000001</v>
      </c>
      <c r="X9" s="3">
        <v>3.9020000000000001</v>
      </c>
      <c r="Y9" s="3">
        <v>3.9590000000000001</v>
      </c>
      <c r="Z9" s="3">
        <v>4.1189999999999998</v>
      </c>
      <c r="AA9" s="3">
        <v>4.0549999999999997</v>
      </c>
      <c r="AB9" s="3">
        <v>4.0869999999999997</v>
      </c>
      <c r="AC9" s="3">
        <v>4.1479999999999997</v>
      </c>
      <c r="AD9" s="3">
        <v>4.0970000000000004</v>
      </c>
      <c r="AE9" s="3">
        <v>4.1100000000000003</v>
      </c>
      <c r="AF9" s="3">
        <v>4.13</v>
      </c>
      <c r="AG9" s="3">
        <v>4.1399999999999997</v>
      </c>
      <c r="AH9" s="3">
        <v>4.1210000000000004</v>
      </c>
      <c r="AI9" s="3">
        <v>4.1289999999999996</v>
      </c>
      <c r="AJ9" s="3">
        <v>4.1109999999999998</v>
      </c>
      <c r="AK9" s="3">
        <v>4.1189999999999998</v>
      </c>
      <c r="AL9" s="3">
        <v>4.0599999999999996</v>
      </c>
      <c r="AM9" s="3">
        <v>4.1479999999999997</v>
      </c>
      <c r="AN9" s="3">
        <v>4.1120000000000001</v>
      </c>
      <c r="AO9" s="3">
        <v>4.1449999999999996</v>
      </c>
      <c r="AP9" s="3">
        <v>4.0979999999999999</v>
      </c>
      <c r="AQ9" s="3">
        <v>4.1449999999999996</v>
      </c>
      <c r="AR9" s="3">
        <v>4.0940000000000003</v>
      </c>
      <c r="AS9" s="3">
        <v>4.125</v>
      </c>
      <c r="AT9" s="3">
        <v>4.1189999999999998</v>
      </c>
      <c r="AU9" s="3">
        <v>3.9689999999999999</v>
      </c>
      <c r="AW9" s="3">
        <f>MIN(O9:AU9)</f>
        <v>3.9020000000000001</v>
      </c>
      <c r="AX9" s="3">
        <f>MAX(O9:AU9)</f>
        <v>4.1529999999999996</v>
      </c>
      <c r="AY9" s="3">
        <f>AX9-AW9</f>
        <v>0.25099999999999945</v>
      </c>
      <c r="AZ9" s="3">
        <f>AY9/AW9*100</f>
        <v>6.4325986673500619</v>
      </c>
      <c r="BA9" s="3">
        <f>AY9/AX9*100</f>
        <v>6.0438237418733314</v>
      </c>
    </row>
    <row r="10" spans="1:53" x14ac:dyDescent="0.15">
      <c r="A10" s="4" t="s">
        <v>25</v>
      </c>
      <c r="B10" s="3">
        <v>514</v>
      </c>
      <c r="C10" s="3">
        <v>513</v>
      </c>
      <c r="D10" s="3">
        <v>507</v>
      </c>
      <c r="E10" s="3">
        <v>500</v>
      </c>
      <c r="F10" s="3">
        <v>501</v>
      </c>
      <c r="G10" s="3">
        <v>514</v>
      </c>
      <c r="I10" s="3">
        <f>MIN(B10:G10)</f>
        <v>500</v>
      </c>
      <c r="J10" s="3">
        <f>MAX(B10:G10)</f>
        <v>514</v>
      </c>
      <c r="K10" s="3">
        <f>J10-I10</f>
        <v>14</v>
      </c>
      <c r="L10" s="3">
        <f>K10/I10*100</f>
        <v>2.8000000000000003</v>
      </c>
      <c r="M10" s="3">
        <f>K10/J10*100</f>
        <v>2.7237354085603114</v>
      </c>
      <c r="O10" s="3">
        <v>29</v>
      </c>
      <c r="P10" s="3">
        <v>29.1</v>
      </c>
      <c r="Q10" s="3">
        <v>28</v>
      </c>
      <c r="R10" s="3">
        <v>29.5</v>
      </c>
      <c r="S10" s="3">
        <v>29.5</v>
      </c>
      <c r="T10" s="3">
        <v>29.4</v>
      </c>
      <c r="U10" s="3">
        <v>29.4</v>
      </c>
      <c r="V10" s="3">
        <v>29.7</v>
      </c>
      <c r="W10" s="3">
        <v>28.9</v>
      </c>
      <c r="X10" s="3">
        <v>27.5</v>
      </c>
      <c r="Y10" s="3">
        <v>27.9</v>
      </c>
      <c r="Z10" s="3">
        <v>28.6</v>
      </c>
      <c r="AA10" s="3">
        <v>29.1</v>
      </c>
      <c r="AB10" s="3">
        <v>28.7</v>
      </c>
      <c r="AC10" s="3">
        <v>29.5</v>
      </c>
      <c r="AD10" s="3">
        <v>28.4</v>
      </c>
      <c r="AE10" s="3">
        <v>29</v>
      </c>
      <c r="AF10" s="3">
        <v>29.2</v>
      </c>
      <c r="AG10" s="3">
        <v>29.6</v>
      </c>
      <c r="AH10" s="3">
        <v>29.4</v>
      </c>
      <c r="AI10" s="3">
        <v>28.9</v>
      </c>
      <c r="AJ10" s="3">
        <v>28.9</v>
      </c>
      <c r="AK10" s="3">
        <v>29.1</v>
      </c>
      <c r="AL10" s="3">
        <v>28.8</v>
      </c>
      <c r="AM10" s="3">
        <v>29.4</v>
      </c>
      <c r="AN10" s="3">
        <v>29.1</v>
      </c>
      <c r="AO10" s="3">
        <v>29.4</v>
      </c>
      <c r="AP10" s="3">
        <v>29.3</v>
      </c>
      <c r="AQ10" s="3">
        <v>29.3</v>
      </c>
      <c r="AR10" s="3">
        <v>28.9</v>
      </c>
      <c r="AS10" s="3">
        <v>29.2</v>
      </c>
      <c r="AT10" s="3">
        <v>28</v>
      </c>
      <c r="AU10" s="3">
        <v>28.5</v>
      </c>
      <c r="AW10" s="3">
        <f>MIN(O10:AU10)</f>
        <v>27.5</v>
      </c>
      <c r="AX10" s="3">
        <f>MAX(O10:AU10)</f>
        <v>29.7</v>
      </c>
      <c r="AY10" s="3">
        <f>AX10-AW10</f>
        <v>2.1999999999999993</v>
      </c>
      <c r="AZ10" s="3">
        <f>AY10/AW10*100</f>
        <v>7.9999999999999973</v>
      </c>
      <c r="BA10" s="3">
        <f>AY10/AX10*100</f>
        <v>7.4074074074074057</v>
      </c>
    </row>
    <row r="12" spans="1:53" x14ac:dyDescent="0.15">
      <c r="A12" s="4" t="s">
        <v>0</v>
      </c>
      <c r="B12" s="2" t="s">
        <v>1</v>
      </c>
      <c r="C12" s="2" t="s">
        <v>2</v>
      </c>
      <c r="D12" s="2" t="s">
        <v>1</v>
      </c>
      <c r="E12" s="2" t="s">
        <v>2</v>
      </c>
      <c r="F12" s="2" t="s">
        <v>1</v>
      </c>
      <c r="G12" s="2" t="s">
        <v>2</v>
      </c>
      <c r="H12" s="2"/>
      <c r="I12" s="2"/>
      <c r="J12" s="2"/>
      <c r="K12" s="2"/>
      <c r="L12" s="2"/>
      <c r="M12" s="2"/>
      <c r="N12" s="2"/>
      <c r="O12" s="2" t="s">
        <v>3</v>
      </c>
      <c r="P12" s="2" t="s">
        <v>4</v>
      </c>
      <c r="Q12" s="2" t="s">
        <v>5</v>
      </c>
      <c r="R12" s="2" t="s">
        <v>6</v>
      </c>
      <c r="S12" s="2" t="s">
        <v>7</v>
      </c>
      <c r="T12" s="2" t="s">
        <v>8</v>
      </c>
      <c r="U12" s="2" t="s">
        <v>9</v>
      </c>
      <c r="V12" s="2" t="s">
        <v>10</v>
      </c>
      <c r="W12" s="2" t="s">
        <v>11</v>
      </c>
      <c r="X12" s="2" t="s">
        <v>12</v>
      </c>
      <c r="Y12" s="2" t="s">
        <v>13</v>
      </c>
      <c r="Z12" s="2" t="s">
        <v>3</v>
      </c>
      <c r="AA12" s="2" t="s">
        <v>4</v>
      </c>
      <c r="AB12" s="2" t="s">
        <v>5</v>
      </c>
      <c r="AC12" s="2" t="s">
        <v>6</v>
      </c>
      <c r="AD12" s="2" t="s">
        <v>7</v>
      </c>
      <c r="AE12" s="2" t="s">
        <v>8</v>
      </c>
      <c r="AF12" s="2" t="s">
        <v>9</v>
      </c>
      <c r="AG12" s="2" t="s">
        <v>10</v>
      </c>
      <c r="AH12" s="2" t="s">
        <v>11</v>
      </c>
      <c r="AI12" s="2" t="s">
        <v>12</v>
      </c>
      <c r="AJ12" s="2" t="s">
        <v>13</v>
      </c>
      <c r="AK12" s="2" t="s">
        <v>3</v>
      </c>
      <c r="AL12" s="2" t="s">
        <v>4</v>
      </c>
      <c r="AM12" s="2" t="s">
        <v>5</v>
      </c>
      <c r="AN12" s="2" t="s">
        <v>6</v>
      </c>
      <c r="AO12" s="2" t="s">
        <v>7</v>
      </c>
      <c r="AP12" s="2" t="s">
        <v>8</v>
      </c>
      <c r="AQ12" s="2" t="s">
        <v>9</v>
      </c>
      <c r="AR12" s="2" t="s">
        <v>10</v>
      </c>
      <c r="AS12" s="2" t="s">
        <v>11</v>
      </c>
      <c r="AT12" s="2" t="s">
        <v>12</v>
      </c>
      <c r="AU12" s="2" t="s">
        <v>13</v>
      </c>
    </row>
    <row r="13" spans="1:53" x14ac:dyDescent="0.15">
      <c r="A13" s="4" t="s">
        <v>29</v>
      </c>
      <c r="B13" s="3">
        <v>462</v>
      </c>
      <c r="C13" s="3">
        <v>457</v>
      </c>
      <c r="D13" s="3">
        <v>475</v>
      </c>
      <c r="E13" s="3">
        <v>483</v>
      </c>
      <c r="F13" s="3">
        <v>456</v>
      </c>
      <c r="G13" s="3">
        <v>409</v>
      </c>
      <c r="I13" s="3">
        <f>MIN(B13:G13)</f>
        <v>409</v>
      </c>
      <c r="J13" s="3">
        <f>MAX(B13:G13)</f>
        <v>483</v>
      </c>
      <c r="K13" s="3">
        <f>J13-I13</f>
        <v>74</v>
      </c>
      <c r="L13" s="3">
        <f>K13/I13*100</f>
        <v>18.092909535452321</v>
      </c>
      <c r="M13" s="3">
        <f>K13/J13*100</f>
        <v>15.320910973084887</v>
      </c>
      <c r="O13" s="3">
        <v>200</v>
      </c>
      <c r="P13" s="3">
        <v>198</v>
      </c>
      <c r="Q13" s="3">
        <v>194</v>
      </c>
      <c r="R13" s="3">
        <v>205</v>
      </c>
      <c r="S13" s="3">
        <v>198</v>
      </c>
      <c r="T13" s="3">
        <v>196</v>
      </c>
      <c r="U13" s="3">
        <v>201</v>
      </c>
      <c r="V13" s="3">
        <v>206</v>
      </c>
      <c r="W13" s="3">
        <v>201</v>
      </c>
      <c r="X13" s="3">
        <v>196</v>
      </c>
      <c r="Y13" s="3">
        <v>198</v>
      </c>
      <c r="Z13" s="3">
        <v>196</v>
      </c>
      <c r="AA13" s="3">
        <v>197</v>
      </c>
      <c r="AB13" s="3">
        <v>196</v>
      </c>
      <c r="AC13" s="3">
        <v>203</v>
      </c>
      <c r="AD13" s="3">
        <v>188</v>
      </c>
      <c r="AE13" s="3">
        <v>192</v>
      </c>
      <c r="AF13" s="3">
        <v>199</v>
      </c>
      <c r="AG13" s="3">
        <v>205</v>
      </c>
      <c r="AH13" s="3">
        <v>201</v>
      </c>
      <c r="AI13" s="3">
        <v>204</v>
      </c>
      <c r="AJ13" s="3">
        <v>195</v>
      </c>
      <c r="AK13" s="3">
        <v>195</v>
      </c>
      <c r="AL13" s="3">
        <v>197</v>
      </c>
      <c r="AM13" s="3">
        <v>196</v>
      </c>
      <c r="AN13" s="3">
        <v>197</v>
      </c>
      <c r="AO13" s="3">
        <v>196</v>
      </c>
      <c r="AP13" s="3">
        <v>206</v>
      </c>
      <c r="AQ13" s="3">
        <v>201</v>
      </c>
      <c r="AR13" s="3">
        <v>192</v>
      </c>
      <c r="AS13" s="3">
        <v>198</v>
      </c>
      <c r="AT13" s="3">
        <v>198</v>
      </c>
      <c r="AU13" s="3">
        <v>194</v>
      </c>
      <c r="AW13" s="3">
        <f>MIN(O13:AU13)</f>
        <v>188</v>
      </c>
      <c r="AX13" s="3">
        <f>MAX(O13:AU13)</f>
        <v>206</v>
      </c>
      <c r="AY13" s="3">
        <f>AX13-AW13</f>
        <v>18</v>
      </c>
      <c r="AZ13" s="3">
        <f>AY13/AW13*100</f>
        <v>9.5744680851063837</v>
      </c>
      <c r="BA13" s="3">
        <f>AY13/AX13*100</f>
        <v>8.7378640776699026</v>
      </c>
    </row>
    <row r="14" spans="1:53" x14ac:dyDescent="0.15">
      <c r="A14" s="4" t="s">
        <v>30</v>
      </c>
      <c r="B14" s="3">
        <v>467</v>
      </c>
      <c r="C14" s="3">
        <v>462</v>
      </c>
      <c r="D14" s="3">
        <v>484</v>
      </c>
      <c r="E14" s="3">
        <v>490</v>
      </c>
      <c r="F14" s="3">
        <v>464</v>
      </c>
      <c r="G14" s="3">
        <v>413</v>
      </c>
      <c r="I14" s="3">
        <f>MIN(B14:G14)</f>
        <v>413</v>
      </c>
      <c r="J14" s="3">
        <f>MAX(B14:G14)</f>
        <v>490</v>
      </c>
      <c r="K14" s="3">
        <f>J14-I14</f>
        <v>77</v>
      </c>
      <c r="L14" s="3">
        <f>K14/I14*100</f>
        <v>18.64406779661017</v>
      </c>
      <c r="M14" s="3">
        <f>K14/J14*100</f>
        <v>15.714285714285714</v>
      </c>
      <c r="O14" s="3">
        <v>203</v>
      </c>
      <c r="P14" s="3">
        <v>201</v>
      </c>
      <c r="Q14" s="3">
        <v>196</v>
      </c>
      <c r="R14" s="3">
        <v>205</v>
      </c>
      <c r="S14" s="3">
        <v>200</v>
      </c>
      <c r="T14" s="3">
        <v>198</v>
      </c>
      <c r="U14" s="3">
        <v>202</v>
      </c>
      <c r="V14" s="3">
        <v>205</v>
      </c>
      <c r="W14" s="3">
        <v>202</v>
      </c>
      <c r="X14" s="3">
        <v>195</v>
      </c>
      <c r="Y14" s="3">
        <v>198</v>
      </c>
      <c r="Z14" s="3">
        <v>190</v>
      </c>
      <c r="AA14" s="3">
        <v>198</v>
      </c>
      <c r="AB14" s="3">
        <v>177</v>
      </c>
      <c r="AC14" s="3">
        <v>205</v>
      </c>
      <c r="AD14" s="3">
        <v>192</v>
      </c>
      <c r="AE14" s="3">
        <v>194</v>
      </c>
      <c r="AF14" s="3">
        <v>199</v>
      </c>
      <c r="AG14" s="3">
        <v>207</v>
      </c>
      <c r="AH14" s="3">
        <v>201</v>
      </c>
      <c r="AI14" s="3">
        <v>185</v>
      </c>
      <c r="AJ14" s="3">
        <v>195</v>
      </c>
      <c r="AK14" s="3">
        <v>197</v>
      </c>
      <c r="AL14" s="3">
        <v>198</v>
      </c>
      <c r="AM14" s="3">
        <v>198</v>
      </c>
      <c r="AN14" s="3">
        <v>197</v>
      </c>
      <c r="AO14" s="3">
        <v>198</v>
      </c>
      <c r="AP14" s="3">
        <v>190</v>
      </c>
      <c r="AQ14" s="3">
        <v>198</v>
      </c>
      <c r="AR14" s="3">
        <v>190</v>
      </c>
      <c r="AS14" s="3">
        <v>198</v>
      </c>
      <c r="AT14" s="3">
        <v>197</v>
      </c>
      <c r="AU14" s="3">
        <v>194</v>
      </c>
      <c r="AW14" s="3">
        <f>MIN(O14:AU14)</f>
        <v>177</v>
      </c>
      <c r="AX14" s="3">
        <f>MAX(O14:AU14)</f>
        <v>207</v>
      </c>
      <c r="AY14" s="3">
        <f>AX14-AW14</f>
        <v>30</v>
      </c>
      <c r="AZ14" s="3">
        <f>AY14/AW14*100</f>
        <v>16.949152542372879</v>
      </c>
      <c r="BA14" s="3">
        <f>AY14/AX14*100</f>
        <v>14.492753623188406</v>
      </c>
    </row>
    <row r="15" spans="1:53" x14ac:dyDescent="0.15">
      <c r="A15" s="4" t="s">
        <v>31</v>
      </c>
      <c r="B15" s="3">
        <v>463</v>
      </c>
      <c r="C15" s="3">
        <v>465</v>
      </c>
      <c r="D15" s="3">
        <v>482</v>
      </c>
      <c r="E15" s="3">
        <v>493</v>
      </c>
      <c r="F15" s="3">
        <v>467</v>
      </c>
      <c r="G15" s="3">
        <v>412</v>
      </c>
      <c r="I15" s="3">
        <f>MIN(B15:G15)</f>
        <v>412</v>
      </c>
      <c r="J15" s="3">
        <f>MAX(B15:G15)</f>
        <v>493</v>
      </c>
      <c r="K15" s="3">
        <f>J15-I15</f>
        <v>81</v>
      </c>
      <c r="L15" s="3">
        <f>K15/I15*100</f>
        <v>19.660194174757279</v>
      </c>
      <c r="M15" s="3">
        <f>K15/J15*100</f>
        <v>16.430020283975661</v>
      </c>
      <c r="O15" s="3">
        <v>199</v>
      </c>
      <c r="P15" s="3">
        <v>197</v>
      </c>
      <c r="Q15" s="3">
        <v>195</v>
      </c>
      <c r="R15" s="3">
        <v>207</v>
      </c>
      <c r="S15" s="3">
        <v>200</v>
      </c>
      <c r="T15" s="3">
        <v>196</v>
      </c>
      <c r="U15" s="3">
        <v>188</v>
      </c>
      <c r="V15" s="3">
        <v>207</v>
      </c>
      <c r="W15" s="3">
        <v>201</v>
      </c>
      <c r="X15" s="3">
        <v>197</v>
      </c>
      <c r="Y15" s="3">
        <v>199</v>
      </c>
      <c r="Z15" s="3">
        <v>195</v>
      </c>
      <c r="AA15" s="3">
        <v>197</v>
      </c>
      <c r="AB15" s="3">
        <v>195</v>
      </c>
      <c r="AC15" s="3">
        <v>203</v>
      </c>
      <c r="AD15" s="3">
        <v>187</v>
      </c>
      <c r="AE15" s="3">
        <v>191</v>
      </c>
      <c r="AF15" s="3">
        <v>200</v>
      </c>
      <c r="AG15" s="3">
        <v>207</v>
      </c>
      <c r="AH15" s="3">
        <v>202</v>
      </c>
      <c r="AI15" s="3">
        <v>203</v>
      </c>
      <c r="AJ15" s="3">
        <v>195</v>
      </c>
      <c r="AK15" s="3">
        <v>196</v>
      </c>
      <c r="AL15" s="3">
        <v>198</v>
      </c>
      <c r="AM15" s="3">
        <v>198</v>
      </c>
      <c r="AN15" s="3">
        <v>196</v>
      </c>
      <c r="AO15" s="3">
        <v>196</v>
      </c>
      <c r="AP15" s="3">
        <v>202</v>
      </c>
      <c r="AQ15" s="3">
        <v>202</v>
      </c>
      <c r="AR15" s="3">
        <v>194</v>
      </c>
      <c r="AS15" s="3">
        <v>199</v>
      </c>
      <c r="AT15" s="3">
        <v>199</v>
      </c>
      <c r="AU15" s="3">
        <v>196</v>
      </c>
      <c r="AW15" s="3">
        <f>MIN(O15:AU15)</f>
        <v>187</v>
      </c>
      <c r="AX15" s="3">
        <f>MAX(O15:AU15)</f>
        <v>207</v>
      </c>
      <c r="AY15" s="3">
        <f>AX15-AW15</f>
        <v>20</v>
      </c>
      <c r="AZ15" s="3">
        <f>AY15/AW15*100</f>
        <v>10.695187165775401</v>
      </c>
      <c r="BA15" s="3">
        <f>AY15/AX15*100</f>
        <v>9.6618357487922708</v>
      </c>
    </row>
    <row r="17" spans="1:53" x14ac:dyDescent="0.15">
      <c r="A17" s="4" t="s">
        <v>0</v>
      </c>
      <c r="B17" s="2" t="s">
        <v>1</v>
      </c>
      <c r="C17" s="2" t="s">
        <v>2</v>
      </c>
      <c r="D17" s="2" t="s">
        <v>1</v>
      </c>
      <c r="E17" s="2" t="s">
        <v>2</v>
      </c>
      <c r="F17" s="2" t="s">
        <v>1</v>
      </c>
      <c r="G17" s="2" t="s">
        <v>2</v>
      </c>
      <c r="H17" s="2"/>
      <c r="I17" s="2"/>
      <c r="J17" s="2"/>
      <c r="K17" s="2"/>
      <c r="L17" s="2"/>
      <c r="M17" s="2"/>
      <c r="N17" s="2"/>
      <c r="O17" s="2" t="s">
        <v>3</v>
      </c>
      <c r="P17" s="2" t="s">
        <v>4</v>
      </c>
      <c r="Q17" s="2" t="s">
        <v>5</v>
      </c>
      <c r="R17" s="2" t="s">
        <v>6</v>
      </c>
      <c r="S17" s="2" t="s">
        <v>7</v>
      </c>
      <c r="T17" s="2" t="s">
        <v>8</v>
      </c>
      <c r="U17" s="2" t="s">
        <v>9</v>
      </c>
      <c r="V17" s="2" t="s">
        <v>10</v>
      </c>
      <c r="W17" s="2" t="s">
        <v>11</v>
      </c>
      <c r="X17" s="2" t="s">
        <v>12</v>
      </c>
      <c r="Y17" s="2" t="s">
        <v>13</v>
      </c>
      <c r="Z17" s="2" t="s">
        <v>3</v>
      </c>
      <c r="AA17" s="2" t="s">
        <v>4</v>
      </c>
      <c r="AB17" s="2" t="s">
        <v>5</v>
      </c>
      <c r="AC17" s="2" t="s">
        <v>6</v>
      </c>
      <c r="AD17" s="2" t="s">
        <v>7</v>
      </c>
      <c r="AE17" s="2" t="s">
        <v>8</v>
      </c>
      <c r="AF17" s="2" t="s">
        <v>9</v>
      </c>
      <c r="AG17" s="2" t="s">
        <v>10</v>
      </c>
      <c r="AH17" s="2" t="s">
        <v>11</v>
      </c>
      <c r="AI17" s="2" t="s">
        <v>12</v>
      </c>
      <c r="AJ17" s="2" t="s">
        <v>13</v>
      </c>
      <c r="AK17" s="2" t="s">
        <v>3</v>
      </c>
      <c r="AL17" s="2" t="s">
        <v>4</v>
      </c>
      <c r="AM17" s="2" t="s">
        <v>5</v>
      </c>
      <c r="AN17" s="2" t="s">
        <v>6</v>
      </c>
      <c r="AO17" s="2" t="s">
        <v>7</v>
      </c>
      <c r="AP17" s="2" t="s">
        <v>8</v>
      </c>
      <c r="AQ17" s="2" t="s">
        <v>9</v>
      </c>
      <c r="AR17" s="2" t="s">
        <v>10</v>
      </c>
      <c r="AS17" s="2" t="s">
        <v>11</v>
      </c>
      <c r="AT17" s="2" t="s">
        <v>12</v>
      </c>
      <c r="AU17" s="2" t="s">
        <v>13</v>
      </c>
    </row>
    <row r="18" spans="1:53" x14ac:dyDescent="0.15">
      <c r="A18" s="4" t="s">
        <v>35</v>
      </c>
      <c r="B18" s="3">
        <v>525</v>
      </c>
      <c r="C18" s="3">
        <v>527</v>
      </c>
      <c r="D18" s="3">
        <v>523</v>
      </c>
      <c r="E18" s="3">
        <v>524</v>
      </c>
      <c r="F18" s="3">
        <v>525</v>
      </c>
      <c r="G18" s="3">
        <v>506</v>
      </c>
      <c r="I18" s="3">
        <f>MIN(B18:G18)</f>
        <v>506</v>
      </c>
      <c r="J18" s="3">
        <f>MAX(B18:G18)</f>
        <v>527</v>
      </c>
      <c r="K18" s="3">
        <f>J18-I18</f>
        <v>21</v>
      </c>
      <c r="L18" s="3">
        <f>K18/I18*100</f>
        <v>4.150197628458498</v>
      </c>
      <c r="M18" s="3">
        <f>K18/J18*100</f>
        <v>3.9848197343453511</v>
      </c>
      <c r="O18" s="3">
        <v>206</v>
      </c>
      <c r="P18" s="3">
        <v>205</v>
      </c>
      <c r="Q18" s="3">
        <v>200</v>
      </c>
      <c r="R18" s="3">
        <v>210</v>
      </c>
      <c r="S18" s="3">
        <v>206</v>
      </c>
      <c r="T18" s="3">
        <v>205</v>
      </c>
      <c r="U18" s="3">
        <v>206</v>
      </c>
      <c r="V18" s="3">
        <v>212</v>
      </c>
      <c r="W18" s="3">
        <v>205</v>
      </c>
      <c r="X18" s="3">
        <v>201</v>
      </c>
      <c r="Y18" s="3">
        <v>203</v>
      </c>
      <c r="Z18" s="3">
        <v>204</v>
      </c>
      <c r="AA18" s="3">
        <v>202</v>
      </c>
      <c r="AB18" s="3">
        <v>200</v>
      </c>
      <c r="AC18" s="3">
        <v>209</v>
      </c>
      <c r="AD18" s="3">
        <v>196</v>
      </c>
      <c r="AE18" s="3">
        <v>201</v>
      </c>
      <c r="AF18" s="3">
        <v>203</v>
      </c>
      <c r="AG18" s="3">
        <v>211</v>
      </c>
      <c r="AH18" s="3">
        <v>208</v>
      </c>
      <c r="AI18" s="3">
        <v>206</v>
      </c>
      <c r="AJ18" s="3">
        <v>200</v>
      </c>
      <c r="AK18" s="3">
        <v>201</v>
      </c>
      <c r="AL18" s="3">
        <v>202</v>
      </c>
      <c r="AM18" s="3">
        <v>203</v>
      </c>
      <c r="AN18" s="3">
        <v>200</v>
      </c>
      <c r="AO18" s="3">
        <v>202</v>
      </c>
      <c r="AP18" s="3">
        <v>213</v>
      </c>
      <c r="AQ18" s="3">
        <v>194</v>
      </c>
      <c r="AR18" s="3">
        <v>193</v>
      </c>
      <c r="AS18" s="3">
        <v>203</v>
      </c>
      <c r="AT18" s="3">
        <v>203</v>
      </c>
      <c r="AU18" s="3">
        <v>203</v>
      </c>
      <c r="AW18" s="3">
        <f>MIN(O18:AU18)</f>
        <v>193</v>
      </c>
      <c r="AX18" s="3">
        <f>MAX(O18:AU18)</f>
        <v>213</v>
      </c>
      <c r="AY18" s="3">
        <f>AX18-AW18</f>
        <v>20</v>
      </c>
      <c r="AZ18" s="3">
        <f>AY18/AW18*100</f>
        <v>10.362694300518134</v>
      </c>
      <c r="BA18" s="3">
        <f>AY18/AX18*100</f>
        <v>9.3896713615023462</v>
      </c>
    </row>
    <row r="19" spans="1:53" x14ac:dyDescent="0.15">
      <c r="A19" s="4" t="s">
        <v>36</v>
      </c>
      <c r="B19" s="3">
        <v>531</v>
      </c>
      <c r="C19" s="3">
        <v>530</v>
      </c>
      <c r="D19" s="3">
        <v>524</v>
      </c>
      <c r="E19" s="3">
        <v>522</v>
      </c>
      <c r="F19" s="3">
        <v>529</v>
      </c>
      <c r="G19" s="3">
        <v>509</v>
      </c>
      <c r="I19" s="3">
        <f>MIN(B19:G19)</f>
        <v>509</v>
      </c>
      <c r="J19" s="3">
        <f>MAX(B19:G19)</f>
        <v>531</v>
      </c>
      <c r="K19" s="3">
        <f>J19-I19</f>
        <v>22</v>
      </c>
      <c r="L19" s="3">
        <f>K19/I19*100</f>
        <v>4.3222003929273081</v>
      </c>
      <c r="M19" s="3">
        <f>K19/J19*100</f>
        <v>4.1431261770244827</v>
      </c>
      <c r="O19" s="3">
        <v>206</v>
      </c>
      <c r="P19" s="3">
        <v>205</v>
      </c>
      <c r="Q19" s="3">
        <v>199</v>
      </c>
      <c r="R19" s="3">
        <v>211</v>
      </c>
      <c r="S19" s="3">
        <v>205</v>
      </c>
      <c r="T19" s="3">
        <v>205</v>
      </c>
      <c r="U19" s="3">
        <v>206</v>
      </c>
      <c r="V19" s="3">
        <v>212</v>
      </c>
      <c r="W19" s="3">
        <v>205</v>
      </c>
      <c r="X19" s="3">
        <v>201</v>
      </c>
      <c r="Y19" s="3">
        <v>203</v>
      </c>
      <c r="Z19" s="3">
        <v>204</v>
      </c>
      <c r="AA19" s="3">
        <v>203</v>
      </c>
      <c r="AB19" s="3">
        <v>200</v>
      </c>
      <c r="AC19" s="3">
        <v>209</v>
      </c>
      <c r="AD19" s="3">
        <v>182</v>
      </c>
      <c r="AE19" s="3">
        <v>201</v>
      </c>
      <c r="AF19" s="3">
        <v>204</v>
      </c>
      <c r="AG19" s="3">
        <v>211</v>
      </c>
      <c r="AH19" s="3">
        <v>208</v>
      </c>
      <c r="AI19" s="3">
        <v>206</v>
      </c>
      <c r="AJ19" s="3">
        <v>200</v>
      </c>
      <c r="AK19" s="3">
        <v>201</v>
      </c>
      <c r="AL19" s="3">
        <v>202</v>
      </c>
      <c r="AM19" s="3">
        <v>203</v>
      </c>
      <c r="AN19" s="3">
        <v>200</v>
      </c>
      <c r="AO19" s="3">
        <v>202</v>
      </c>
      <c r="AP19" s="3">
        <v>213</v>
      </c>
      <c r="AQ19" s="3">
        <v>206</v>
      </c>
      <c r="AR19" s="3">
        <v>197</v>
      </c>
      <c r="AS19" s="3">
        <v>203</v>
      </c>
      <c r="AT19" s="3">
        <v>203</v>
      </c>
      <c r="AU19" s="3">
        <v>203</v>
      </c>
      <c r="AW19" s="3">
        <f>MIN(O19:AU19)</f>
        <v>182</v>
      </c>
      <c r="AX19" s="3">
        <f>MAX(O19:AU19)</f>
        <v>213</v>
      </c>
      <c r="AY19" s="3">
        <f>AX19-AW19</f>
        <v>31</v>
      </c>
      <c r="AZ19" s="3">
        <f>AY19/AW19*100</f>
        <v>17.032967032967033</v>
      </c>
      <c r="BA19" s="3">
        <f>AY19/AX19*100</f>
        <v>14.553990610328638</v>
      </c>
    </row>
    <row r="20" spans="1:53" x14ac:dyDescent="0.15">
      <c r="A20" s="4" t="s">
        <v>37</v>
      </c>
      <c r="B20" s="3">
        <v>530</v>
      </c>
      <c r="C20" s="3">
        <v>531</v>
      </c>
      <c r="D20" s="3">
        <v>524</v>
      </c>
      <c r="E20" s="3">
        <v>524</v>
      </c>
      <c r="F20" s="3">
        <v>531</v>
      </c>
      <c r="G20" s="3">
        <v>507</v>
      </c>
      <c r="I20" s="3">
        <f>MIN(B20:G20)</f>
        <v>507</v>
      </c>
      <c r="J20" s="3">
        <f>MAX(B20:G20)</f>
        <v>531</v>
      </c>
      <c r="K20" s="3">
        <f>J20-I20</f>
        <v>24</v>
      </c>
      <c r="L20" s="3">
        <f>K20/I20*100</f>
        <v>4.7337278106508878</v>
      </c>
      <c r="M20" s="3">
        <f>K20/J20*100</f>
        <v>4.5197740112994351</v>
      </c>
      <c r="O20" s="3">
        <v>206</v>
      </c>
      <c r="P20" s="3">
        <v>205</v>
      </c>
      <c r="Q20" s="3">
        <v>200</v>
      </c>
      <c r="R20" s="3">
        <v>211</v>
      </c>
      <c r="S20" s="3">
        <v>205</v>
      </c>
      <c r="T20" s="3">
        <v>205</v>
      </c>
      <c r="U20" s="3">
        <v>206</v>
      </c>
      <c r="V20" s="3">
        <v>194</v>
      </c>
      <c r="W20" s="3">
        <v>205</v>
      </c>
      <c r="X20" s="3">
        <v>200</v>
      </c>
      <c r="Y20" s="3">
        <v>203</v>
      </c>
      <c r="Z20" s="3">
        <v>192</v>
      </c>
      <c r="AA20" s="3">
        <v>203</v>
      </c>
      <c r="AB20" s="3">
        <v>200</v>
      </c>
      <c r="AC20" s="3">
        <v>209</v>
      </c>
      <c r="AD20" s="3">
        <v>196</v>
      </c>
      <c r="AE20" s="3">
        <v>201</v>
      </c>
      <c r="AF20" s="3">
        <v>203</v>
      </c>
      <c r="AG20" s="3">
        <v>210</v>
      </c>
      <c r="AH20" s="3">
        <v>207</v>
      </c>
      <c r="AI20" s="3">
        <v>206</v>
      </c>
      <c r="AJ20" s="3">
        <v>200</v>
      </c>
      <c r="AK20" s="3">
        <v>201</v>
      </c>
      <c r="AL20" s="3">
        <v>202</v>
      </c>
      <c r="AM20" s="3">
        <v>203</v>
      </c>
      <c r="AN20" s="3">
        <v>200</v>
      </c>
      <c r="AO20" s="3">
        <v>202</v>
      </c>
      <c r="AP20" s="3">
        <v>213</v>
      </c>
      <c r="AQ20" s="3">
        <v>206</v>
      </c>
      <c r="AR20" s="3">
        <v>197</v>
      </c>
      <c r="AS20" s="3">
        <v>203</v>
      </c>
      <c r="AT20" s="3">
        <v>203</v>
      </c>
      <c r="AU20" s="3">
        <v>203</v>
      </c>
      <c r="AW20" s="3">
        <f>MIN(O20:AU20)</f>
        <v>192</v>
      </c>
      <c r="AX20" s="3">
        <f>MAX(O20:AU20)</f>
        <v>213</v>
      </c>
      <c r="AY20" s="3">
        <f>AX20-AW20</f>
        <v>21</v>
      </c>
      <c r="AZ20" s="3">
        <f>AY20/AW20*100</f>
        <v>10.9375</v>
      </c>
      <c r="BA20" s="3">
        <f>AY20/AX20*100</f>
        <v>9.8591549295774641</v>
      </c>
    </row>
    <row r="22" spans="1:53" x14ac:dyDescent="0.15">
      <c r="A22" s="5" t="s">
        <v>39</v>
      </c>
    </row>
    <row r="23" spans="1:53" x14ac:dyDescent="0.15">
      <c r="A23" s="4" t="s">
        <v>0</v>
      </c>
      <c r="B23" s="2" t="s">
        <v>1</v>
      </c>
      <c r="C23" s="2" t="s">
        <v>2</v>
      </c>
      <c r="D23" s="2" t="s">
        <v>1</v>
      </c>
      <c r="E23" s="2" t="s">
        <v>2</v>
      </c>
      <c r="F23" s="2" t="s">
        <v>1</v>
      </c>
      <c r="G23" s="2" t="s">
        <v>2</v>
      </c>
      <c r="H23" s="2"/>
      <c r="I23" s="2"/>
      <c r="J23" s="2"/>
      <c r="K23" s="2"/>
      <c r="L23" s="2"/>
      <c r="M23" s="2"/>
      <c r="N23" s="2"/>
      <c r="O23" s="2" t="s">
        <v>3</v>
      </c>
      <c r="P23" s="2" t="s">
        <v>4</v>
      </c>
      <c r="Q23" s="2" t="s">
        <v>5</v>
      </c>
      <c r="R23" s="2" t="s">
        <v>6</v>
      </c>
      <c r="S23" s="2" t="s">
        <v>7</v>
      </c>
      <c r="T23" s="2" t="s">
        <v>8</v>
      </c>
      <c r="U23" s="2" t="s">
        <v>9</v>
      </c>
      <c r="V23" s="2" t="s">
        <v>10</v>
      </c>
      <c r="W23" s="2" t="s">
        <v>11</v>
      </c>
      <c r="X23" s="2" t="s">
        <v>12</v>
      </c>
      <c r="Y23" s="2" t="s">
        <v>13</v>
      </c>
      <c r="Z23" s="2" t="s">
        <v>3</v>
      </c>
      <c r="AA23" s="2" t="s">
        <v>4</v>
      </c>
      <c r="AB23" s="2" t="s">
        <v>5</v>
      </c>
      <c r="AC23" s="2" t="s">
        <v>6</v>
      </c>
      <c r="AD23" s="2" t="s">
        <v>7</v>
      </c>
      <c r="AE23" s="2" t="s">
        <v>8</v>
      </c>
      <c r="AF23" s="2" t="s">
        <v>9</v>
      </c>
      <c r="AG23" s="2" t="s">
        <v>10</v>
      </c>
      <c r="AH23" s="2" t="s">
        <v>11</v>
      </c>
      <c r="AI23" s="2" t="s">
        <v>12</v>
      </c>
      <c r="AJ23" s="2" t="s">
        <v>13</v>
      </c>
      <c r="AK23" s="2" t="s">
        <v>3</v>
      </c>
      <c r="AL23" s="2" t="s">
        <v>4</v>
      </c>
      <c r="AM23" s="2" t="s">
        <v>5</v>
      </c>
      <c r="AN23" s="2" t="s">
        <v>6</v>
      </c>
      <c r="AO23" s="2" t="s">
        <v>7</v>
      </c>
      <c r="AP23" s="2" t="s">
        <v>8</v>
      </c>
      <c r="AQ23" s="2" t="s">
        <v>9</v>
      </c>
      <c r="AR23" s="2" t="s">
        <v>10</v>
      </c>
      <c r="AS23" s="2" t="s">
        <v>11</v>
      </c>
      <c r="AT23" s="2" t="s">
        <v>12</v>
      </c>
      <c r="AU23" s="2" t="s">
        <v>13</v>
      </c>
    </row>
    <row r="24" spans="1:53" x14ac:dyDescent="0.15">
      <c r="A24" s="4" t="s">
        <v>17</v>
      </c>
      <c r="B24" s="3">
        <v>126</v>
      </c>
      <c r="C24" s="3">
        <v>124</v>
      </c>
      <c r="D24" s="3">
        <v>138</v>
      </c>
      <c r="E24" s="3">
        <v>144</v>
      </c>
      <c r="F24" s="3">
        <v>127</v>
      </c>
      <c r="G24" s="3">
        <v>127</v>
      </c>
      <c r="I24" s="3">
        <f>MIN(B24:G24)</f>
        <v>124</v>
      </c>
      <c r="J24" s="3">
        <f>MAX(B24:G24)</f>
        <v>144</v>
      </c>
      <c r="K24" s="3">
        <f>J24-I24</f>
        <v>20</v>
      </c>
      <c r="L24" s="3">
        <f>K24/I24*100</f>
        <v>16.129032258064516</v>
      </c>
      <c r="M24" s="3">
        <f>K24/J24*100</f>
        <v>13.888888888888889</v>
      </c>
      <c r="O24" s="3">
        <v>0.89400000000000002</v>
      </c>
      <c r="P24" s="3">
        <v>0.89300000000000002</v>
      </c>
      <c r="Q24" s="3">
        <v>0.89600000000000002</v>
      </c>
      <c r="R24" s="3">
        <v>0.90100000000000002</v>
      </c>
      <c r="S24" s="3">
        <v>0.94</v>
      </c>
      <c r="T24" s="3">
        <v>0.879</v>
      </c>
      <c r="U24" s="3">
        <v>0.91600000000000004</v>
      </c>
      <c r="V24" s="3">
        <v>0.94299999999999995</v>
      </c>
      <c r="W24" s="3">
        <v>0.94</v>
      </c>
      <c r="X24" s="3">
        <v>0.86599999999999999</v>
      </c>
      <c r="Y24" s="3">
        <v>0.87</v>
      </c>
      <c r="Z24" s="3">
        <v>0.89100000000000001</v>
      </c>
      <c r="AA24" s="3">
        <v>0.94399999999999995</v>
      </c>
      <c r="AB24" s="3">
        <v>0.89900000000000002</v>
      </c>
      <c r="AC24" s="3">
        <v>0.94</v>
      </c>
      <c r="AD24" s="3">
        <v>0.83299999999999996</v>
      </c>
      <c r="AE24" s="3">
        <v>0.90400000000000003</v>
      </c>
      <c r="AF24" s="3">
        <v>0.93700000000000006</v>
      </c>
      <c r="AG24" s="3">
        <v>0.89700000000000002</v>
      </c>
      <c r="AH24" s="3">
        <v>0.88300000000000001</v>
      </c>
      <c r="AI24" s="3">
        <v>0.872</v>
      </c>
      <c r="AJ24" s="3">
        <v>0.90600000000000003</v>
      </c>
      <c r="AK24" s="3">
        <v>0.90400000000000003</v>
      </c>
      <c r="AL24" s="3">
        <v>0.95899999999999996</v>
      </c>
      <c r="AM24" s="3">
        <v>0.91500000000000004</v>
      </c>
      <c r="AN24" s="3">
        <v>0.90200000000000002</v>
      </c>
      <c r="AO24" s="3">
        <v>0.90300000000000002</v>
      </c>
      <c r="AP24" s="3">
        <v>0.91900000000000004</v>
      </c>
      <c r="AQ24" s="3">
        <v>0.92</v>
      </c>
      <c r="AR24" s="3">
        <v>0.90900000000000003</v>
      </c>
      <c r="AS24" s="3">
        <v>0.88</v>
      </c>
      <c r="AT24" s="3">
        <v>0.93799999999999994</v>
      </c>
      <c r="AU24" s="3">
        <v>0.97299999999999998</v>
      </c>
      <c r="AW24" s="3">
        <f>MIN(O24:AU24)</f>
        <v>0.83299999999999996</v>
      </c>
      <c r="AX24" s="3">
        <f>MAX(O24:AU24)</f>
        <v>0.97299999999999998</v>
      </c>
      <c r="AY24" s="3">
        <f>AX24-AW24</f>
        <v>0.14000000000000001</v>
      </c>
      <c r="AZ24" s="3">
        <f>AY24/AW24*100</f>
        <v>16.806722689075631</v>
      </c>
      <c r="BA24" s="3">
        <f>AY24/AX24*100</f>
        <v>14.388489208633096</v>
      </c>
    </row>
    <row r="25" spans="1:53" x14ac:dyDescent="0.15">
      <c r="A25" s="4" t="s">
        <v>18</v>
      </c>
      <c r="B25" s="3">
        <v>201</v>
      </c>
      <c r="C25" s="3">
        <v>197</v>
      </c>
      <c r="D25" s="3">
        <v>215</v>
      </c>
      <c r="E25" s="3">
        <v>229</v>
      </c>
      <c r="F25" s="3">
        <v>202</v>
      </c>
      <c r="G25" s="3">
        <v>202</v>
      </c>
      <c r="I25" s="3">
        <f>MIN(B25:G25)</f>
        <v>197</v>
      </c>
      <c r="J25" s="3">
        <f>MAX(B25:G25)</f>
        <v>229</v>
      </c>
      <c r="K25" s="3">
        <f>J25-I25</f>
        <v>32</v>
      </c>
      <c r="L25" s="3">
        <f>K25/I25*100</f>
        <v>16.243654822335024</v>
      </c>
      <c r="M25" s="3">
        <f>K25/J25*100</f>
        <v>13.973799126637553</v>
      </c>
      <c r="O25" s="3">
        <v>1.778</v>
      </c>
      <c r="P25" s="3">
        <v>1.77</v>
      </c>
      <c r="Q25" s="3">
        <v>1.78</v>
      </c>
      <c r="R25" s="3">
        <v>1.794</v>
      </c>
      <c r="S25" s="3">
        <v>1.863</v>
      </c>
      <c r="T25" s="3">
        <v>1.724</v>
      </c>
      <c r="U25" s="3">
        <v>1.83</v>
      </c>
      <c r="V25" s="3">
        <v>1.875</v>
      </c>
      <c r="W25" s="3">
        <v>1.8720000000000001</v>
      </c>
      <c r="X25" s="3">
        <v>1.718</v>
      </c>
      <c r="Y25" s="3">
        <v>1.732</v>
      </c>
      <c r="Z25" s="3">
        <v>1.7669999999999999</v>
      </c>
      <c r="AA25" s="3">
        <v>1.897</v>
      </c>
      <c r="AB25" s="3">
        <v>1.7849999999999999</v>
      </c>
      <c r="AC25" s="3">
        <v>1.8660000000000001</v>
      </c>
      <c r="AD25" s="3">
        <v>1.641</v>
      </c>
      <c r="AE25" s="3">
        <v>1.8</v>
      </c>
      <c r="AF25" s="3">
        <v>1.871</v>
      </c>
      <c r="AG25" s="3">
        <v>1.7869999999999999</v>
      </c>
      <c r="AH25" s="3">
        <v>1.7430000000000001</v>
      </c>
      <c r="AI25" s="3">
        <v>1.7290000000000001</v>
      </c>
      <c r="AJ25" s="3">
        <v>1.8029999999999999</v>
      </c>
      <c r="AK25" s="3">
        <v>1.7949999999999999</v>
      </c>
      <c r="AL25" s="3">
        <v>1.9</v>
      </c>
      <c r="AM25" s="3">
        <v>1.819</v>
      </c>
      <c r="AN25" s="3">
        <v>1.8049999999999999</v>
      </c>
      <c r="AO25" s="3">
        <v>1.7949999999999999</v>
      </c>
      <c r="AP25" s="3">
        <v>1.833</v>
      </c>
      <c r="AQ25" s="3">
        <v>1.8360000000000001</v>
      </c>
      <c r="AR25" s="3">
        <v>1.7949999999999999</v>
      </c>
      <c r="AS25" s="3">
        <v>1.7290000000000001</v>
      </c>
      <c r="AT25" s="3">
        <v>1.8720000000000001</v>
      </c>
      <c r="AU25" s="3">
        <v>1.9630000000000001</v>
      </c>
      <c r="AW25" s="3">
        <f>MIN(O25:AU25)</f>
        <v>1.641</v>
      </c>
      <c r="AX25" s="3">
        <f>MAX(O25:AU25)</f>
        <v>1.9630000000000001</v>
      </c>
      <c r="AY25" s="3">
        <f>AX25-AW25</f>
        <v>0.32200000000000006</v>
      </c>
      <c r="AZ25" s="3">
        <f>AY25/AW25*100</f>
        <v>19.622181596587453</v>
      </c>
      <c r="BA25" s="3">
        <f>AY25/AX25*100</f>
        <v>16.403464085583295</v>
      </c>
    </row>
    <row r="26" spans="1:53" x14ac:dyDescent="0.15">
      <c r="A26" s="4" t="s">
        <v>19</v>
      </c>
      <c r="B26" s="3">
        <v>439</v>
      </c>
      <c r="C26" s="3">
        <v>425</v>
      </c>
      <c r="D26" s="3">
        <v>444</v>
      </c>
      <c r="E26" s="3">
        <v>470</v>
      </c>
      <c r="F26" s="3">
        <v>438</v>
      </c>
      <c r="G26" s="3">
        <v>439</v>
      </c>
      <c r="I26" s="3">
        <f>MIN(B26:G26)</f>
        <v>425</v>
      </c>
      <c r="J26" s="3">
        <f>MAX(B26:G26)</f>
        <v>470</v>
      </c>
      <c r="K26" s="3">
        <f>J26-I26</f>
        <v>45</v>
      </c>
      <c r="L26" s="3">
        <f>K26/I26*100</f>
        <v>10.588235294117647</v>
      </c>
      <c r="M26" s="3">
        <f>K26/J26*100</f>
        <v>9.5744680851063837</v>
      </c>
      <c r="O26" s="3">
        <v>12.9</v>
      </c>
      <c r="P26" s="3">
        <v>12.7</v>
      </c>
      <c r="Q26" s="3">
        <v>12.9</v>
      </c>
      <c r="R26" s="3">
        <v>13.3</v>
      </c>
      <c r="S26" s="3">
        <v>13.4</v>
      </c>
      <c r="T26" s="3">
        <v>12.5</v>
      </c>
      <c r="U26" s="3">
        <v>13.3</v>
      </c>
      <c r="V26" s="3">
        <v>13.8</v>
      </c>
      <c r="W26" s="3">
        <v>13.3</v>
      </c>
      <c r="X26" s="3">
        <v>12.7</v>
      </c>
      <c r="Y26" s="3">
        <v>12.9</v>
      </c>
      <c r="Z26" s="3">
        <v>12.8</v>
      </c>
      <c r="AA26" s="3">
        <v>13.5</v>
      </c>
      <c r="AB26" s="3">
        <v>12.8</v>
      </c>
      <c r="AC26" s="3">
        <v>13.5</v>
      </c>
      <c r="AD26" s="3">
        <v>11</v>
      </c>
      <c r="AE26" s="3">
        <v>12.8</v>
      </c>
      <c r="AF26" s="3">
        <v>13.4</v>
      </c>
      <c r="AG26" s="3">
        <v>12</v>
      </c>
      <c r="AH26" s="3">
        <v>12.7</v>
      </c>
      <c r="AI26" s="3">
        <v>12.5</v>
      </c>
      <c r="AJ26" s="3">
        <v>12</v>
      </c>
      <c r="AK26" s="3">
        <v>13.2</v>
      </c>
      <c r="AL26" s="3">
        <v>13.5</v>
      </c>
      <c r="AM26" s="3">
        <v>12</v>
      </c>
      <c r="AN26" s="3">
        <v>12.9</v>
      </c>
      <c r="AO26" s="3">
        <v>13.2</v>
      </c>
      <c r="AP26" s="3">
        <v>13.4</v>
      </c>
      <c r="AQ26" s="3">
        <v>13.1</v>
      </c>
      <c r="AR26" s="3">
        <v>12</v>
      </c>
      <c r="AS26" s="3">
        <v>12.8</v>
      </c>
      <c r="AT26" s="3">
        <v>13.2</v>
      </c>
      <c r="AU26" s="3">
        <v>14</v>
      </c>
      <c r="AW26" s="3">
        <f>MIN(O26:AU26)</f>
        <v>11</v>
      </c>
      <c r="AX26" s="3">
        <f>MAX(O26:AU26)</f>
        <v>14</v>
      </c>
      <c r="AY26" s="3">
        <f>AX26-AW26</f>
        <v>3</v>
      </c>
      <c r="AZ26" s="3">
        <f>AY26/AW26*100</f>
        <v>27.27272727272727</v>
      </c>
      <c r="BA26" s="3">
        <f>AY26/AX26*100</f>
        <v>21.428571428571427</v>
      </c>
    </row>
    <row r="28" spans="1:53" x14ac:dyDescent="0.15">
      <c r="A28" s="4" t="s">
        <v>0</v>
      </c>
      <c r="B28" s="2" t="s">
        <v>1</v>
      </c>
      <c r="C28" s="2" t="s">
        <v>2</v>
      </c>
      <c r="D28" s="2" t="s">
        <v>1</v>
      </c>
      <c r="E28" s="2" t="s">
        <v>2</v>
      </c>
      <c r="F28" s="2" t="s">
        <v>1</v>
      </c>
      <c r="G28" s="2" t="s">
        <v>2</v>
      </c>
      <c r="H28" s="2"/>
      <c r="I28" s="2"/>
      <c r="J28" s="2"/>
      <c r="K28" s="2"/>
      <c r="L28" s="2"/>
      <c r="M28" s="2"/>
      <c r="N28" s="2"/>
      <c r="O28" s="2" t="s">
        <v>3</v>
      </c>
      <c r="P28" s="2" t="s">
        <v>4</v>
      </c>
      <c r="Q28" s="2" t="s">
        <v>5</v>
      </c>
      <c r="R28" s="2" t="s">
        <v>6</v>
      </c>
      <c r="S28" s="2" t="s">
        <v>7</v>
      </c>
      <c r="T28" s="2" t="s">
        <v>8</v>
      </c>
      <c r="U28" s="2" t="s">
        <v>9</v>
      </c>
      <c r="V28" s="2" t="s">
        <v>10</v>
      </c>
      <c r="W28" s="2" t="s">
        <v>11</v>
      </c>
      <c r="X28" s="2" t="s">
        <v>12</v>
      </c>
      <c r="Y28" s="2" t="s">
        <v>13</v>
      </c>
      <c r="Z28" s="2" t="s">
        <v>3</v>
      </c>
      <c r="AA28" s="2" t="s">
        <v>4</v>
      </c>
      <c r="AB28" s="2" t="s">
        <v>5</v>
      </c>
      <c r="AC28" s="2" t="s">
        <v>6</v>
      </c>
      <c r="AD28" s="2" t="s">
        <v>7</v>
      </c>
      <c r="AE28" s="2" t="s">
        <v>8</v>
      </c>
      <c r="AF28" s="2" t="s">
        <v>9</v>
      </c>
      <c r="AG28" s="2" t="s">
        <v>10</v>
      </c>
      <c r="AH28" s="2" t="s">
        <v>11</v>
      </c>
      <c r="AI28" s="2" t="s">
        <v>12</v>
      </c>
      <c r="AJ28" s="2" t="s">
        <v>13</v>
      </c>
      <c r="AK28" s="2" t="s">
        <v>3</v>
      </c>
      <c r="AL28" s="2" t="s">
        <v>4</v>
      </c>
      <c r="AM28" s="2" t="s">
        <v>5</v>
      </c>
      <c r="AN28" s="2" t="s">
        <v>6</v>
      </c>
      <c r="AO28" s="2" t="s">
        <v>7</v>
      </c>
      <c r="AP28" s="2" t="s">
        <v>8</v>
      </c>
      <c r="AQ28" s="2" t="s">
        <v>9</v>
      </c>
      <c r="AR28" s="2" t="s">
        <v>10</v>
      </c>
      <c r="AS28" s="2" t="s">
        <v>11</v>
      </c>
      <c r="AT28" s="2" t="s">
        <v>12</v>
      </c>
      <c r="AU28" s="2" t="s">
        <v>13</v>
      </c>
    </row>
    <row r="29" spans="1:53" x14ac:dyDescent="0.15">
      <c r="A29" s="4" t="s">
        <v>23</v>
      </c>
      <c r="B29" s="3">
        <v>277</v>
      </c>
      <c r="C29" s="3">
        <v>277</v>
      </c>
      <c r="D29" s="3">
        <v>277</v>
      </c>
      <c r="E29" s="3">
        <v>277</v>
      </c>
      <c r="F29" s="3">
        <v>277</v>
      </c>
      <c r="G29" s="3">
        <v>276</v>
      </c>
      <c r="I29" s="3">
        <f>MIN(B29:G29)</f>
        <v>276</v>
      </c>
      <c r="J29" s="3">
        <f>MAX(B29:G29)</f>
        <v>277</v>
      </c>
      <c r="K29" s="3">
        <f>J29-I29</f>
        <v>1</v>
      </c>
      <c r="L29" s="3">
        <f>K29/I29*100</f>
        <v>0.36231884057971014</v>
      </c>
      <c r="M29" s="3">
        <f>K29/J29*100</f>
        <v>0.36101083032490977</v>
      </c>
      <c r="O29" s="3">
        <v>2.0339999999999998</v>
      </c>
      <c r="P29" s="3">
        <v>2.0449999999999999</v>
      </c>
      <c r="Q29" s="3">
        <v>2.0390000000000001</v>
      </c>
      <c r="R29" s="3">
        <v>2.0630000000000002</v>
      </c>
      <c r="S29" s="3">
        <v>2.0640000000000001</v>
      </c>
      <c r="T29" s="3">
        <v>2.0409999999999999</v>
      </c>
      <c r="U29" s="3">
        <v>2.0550000000000002</v>
      </c>
      <c r="V29" s="3">
        <v>2.069</v>
      </c>
      <c r="W29" s="3">
        <v>2.052</v>
      </c>
      <c r="X29" s="3">
        <v>1.9430000000000001</v>
      </c>
      <c r="Y29" s="3">
        <v>1.9650000000000001</v>
      </c>
      <c r="Z29" s="3">
        <v>2.0510000000000002</v>
      </c>
      <c r="AA29" s="3">
        <v>2.0169999999999999</v>
      </c>
      <c r="AB29" s="3">
        <v>2.0379999999999998</v>
      </c>
      <c r="AC29" s="3">
        <v>2.056</v>
      </c>
      <c r="AD29" s="3">
        <v>2.0270000000000001</v>
      </c>
      <c r="AE29" s="3">
        <v>2.0499999999999998</v>
      </c>
      <c r="AF29" s="3">
        <v>2.0510000000000002</v>
      </c>
      <c r="AG29" s="3">
        <v>2.0579999999999998</v>
      </c>
      <c r="AH29" s="3">
        <v>2.0489999999999999</v>
      </c>
      <c r="AI29" s="3">
        <v>2.0529999999999999</v>
      </c>
      <c r="AJ29" s="3">
        <v>2.044</v>
      </c>
      <c r="AK29" s="3">
        <v>2.0449999999999999</v>
      </c>
      <c r="AL29" s="3">
        <v>2.0169999999999999</v>
      </c>
      <c r="AM29" s="3">
        <v>2.0630000000000002</v>
      </c>
      <c r="AN29" s="3">
        <v>2.0449999999999999</v>
      </c>
      <c r="AO29" s="3">
        <v>2.0539999999999998</v>
      </c>
      <c r="AP29" s="3">
        <v>2.0329999999999999</v>
      </c>
      <c r="AQ29" s="3">
        <v>2.0609999999999999</v>
      </c>
      <c r="AR29" s="3">
        <v>2.0369999999999999</v>
      </c>
      <c r="AS29" s="3">
        <v>2.0459999999999998</v>
      </c>
      <c r="AT29" s="3">
        <v>2.0510000000000002</v>
      </c>
      <c r="AU29" s="3">
        <v>1.9830000000000001</v>
      </c>
      <c r="AW29" s="3">
        <f>MIN(O29:AU29)</f>
        <v>1.9430000000000001</v>
      </c>
      <c r="AX29" s="3">
        <f>MAX(O29:AU29)</f>
        <v>2.069</v>
      </c>
      <c r="AY29" s="3">
        <f>AX29-AW29</f>
        <v>0.12599999999999989</v>
      </c>
      <c r="AZ29" s="3">
        <f>AY29/AW29*100</f>
        <v>6.4848172928461079</v>
      </c>
      <c r="BA29" s="3">
        <f>AY29/AX29*100</f>
        <v>6.0898985016916329</v>
      </c>
    </row>
    <row r="30" spans="1:53" x14ac:dyDescent="0.15">
      <c r="A30" s="4" t="s">
        <v>24</v>
      </c>
      <c r="B30" s="3">
        <v>358</v>
      </c>
      <c r="C30" s="3">
        <v>359</v>
      </c>
      <c r="D30" s="3">
        <v>359</v>
      </c>
      <c r="E30" s="3">
        <v>359</v>
      </c>
      <c r="F30" s="3">
        <v>359</v>
      </c>
      <c r="G30" s="3">
        <v>358</v>
      </c>
      <c r="I30" s="3">
        <f>MIN(B30:G30)</f>
        <v>358</v>
      </c>
      <c r="J30" s="3">
        <f>MAX(B30:G30)</f>
        <v>359</v>
      </c>
      <c r="K30" s="3">
        <f>J30-I30</f>
        <v>1</v>
      </c>
      <c r="L30" s="3">
        <f>K30/I30*100</f>
        <v>0.27932960893854747</v>
      </c>
      <c r="M30" s="3">
        <f>K30/J30*100</f>
        <v>0.2785515320334262</v>
      </c>
      <c r="O30" s="3">
        <v>4.0430000000000001</v>
      </c>
      <c r="P30" s="3">
        <v>4.0599999999999996</v>
      </c>
      <c r="Q30" s="3">
        <v>4.0599999999999996</v>
      </c>
      <c r="R30" s="3">
        <v>4.0869999999999997</v>
      </c>
      <c r="S30" s="3">
        <v>4.093</v>
      </c>
      <c r="T30" s="3">
        <v>4.0590000000000002</v>
      </c>
      <c r="U30" s="3">
        <v>4.0830000000000002</v>
      </c>
      <c r="V30" s="3">
        <v>4.0949999999999998</v>
      </c>
      <c r="W30" s="3">
        <v>4.0789999999999997</v>
      </c>
      <c r="X30" s="3">
        <v>3.863</v>
      </c>
      <c r="Y30" s="3">
        <v>3.9079999999999999</v>
      </c>
      <c r="Z30" s="3">
        <v>4.0650000000000004</v>
      </c>
      <c r="AA30" s="3">
        <v>4.0140000000000002</v>
      </c>
      <c r="AB30" s="3">
        <v>4.0469999999999997</v>
      </c>
      <c r="AC30" s="3">
        <v>4.1040000000000001</v>
      </c>
      <c r="AD30" s="3">
        <v>4.0430000000000001</v>
      </c>
      <c r="AE30" s="3">
        <v>4.048</v>
      </c>
      <c r="AF30" s="3">
        <v>4.0910000000000002</v>
      </c>
      <c r="AG30" s="3">
        <v>4.0990000000000002</v>
      </c>
      <c r="AH30" s="3">
        <v>4.0579999999999998</v>
      </c>
      <c r="AI30" s="3">
        <v>4.0750000000000002</v>
      </c>
      <c r="AJ30" s="3">
        <v>4.0620000000000003</v>
      </c>
      <c r="AK30" s="3">
        <v>4.0659999999999998</v>
      </c>
      <c r="AL30" s="3">
        <v>4.01</v>
      </c>
      <c r="AM30" s="3">
        <v>4.085</v>
      </c>
      <c r="AN30" s="3">
        <v>4.0670000000000002</v>
      </c>
      <c r="AO30" s="3">
        <v>4.0910000000000002</v>
      </c>
      <c r="AP30" s="3">
        <v>4.0410000000000004</v>
      </c>
      <c r="AQ30" s="3">
        <v>4.0940000000000003</v>
      </c>
      <c r="AR30" s="3">
        <v>4.0490000000000004</v>
      </c>
      <c r="AS30" s="3">
        <v>4.0819999999999999</v>
      </c>
      <c r="AT30" s="3">
        <v>4.07</v>
      </c>
      <c r="AU30" s="3">
        <v>3.9449999999999998</v>
      </c>
      <c r="AW30" s="3">
        <f>MIN(O30:AU30)</f>
        <v>3.863</v>
      </c>
      <c r="AX30" s="3">
        <f>MAX(O30:AU30)</f>
        <v>4.1040000000000001</v>
      </c>
      <c r="AY30" s="3">
        <f>AX30-AW30</f>
        <v>0.2410000000000001</v>
      </c>
      <c r="AZ30" s="3">
        <f>AY30/AW30*100</f>
        <v>6.2386746052290993</v>
      </c>
      <c r="BA30" s="3">
        <f>AY30/AX30*100</f>
        <v>5.8723196881091644</v>
      </c>
    </row>
    <row r="31" spans="1:53" x14ac:dyDescent="0.15">
      <c r="A31" s="4" t="s">
        <v>25</v>
      </c>
      <c r="B31" s="3">
        <v>512</v>
      </c>
      <c r="C31" s="3">
        <v>509</v>
      </c>
      <c r="D31" s="3">
        <v>496</v>
      </c>
      <c r="E31" s="3">
        <v>497</v>
      </c>
      <c r="F31" s="3">
        <v>502</v>
      </c>
      <c r="G31" s="3">
        <v>507</v>
      </c>
      <c r="I31" s="3">
        <f>MIN(B31:G31)</f>
        <v>496</v>
      </c>
      <c r="J31" s="3">
        <f>MAX(B31:G31)</f>
        <v>512</v>
      </c>
      <c r="K31" s="3">
        <f>J31-I31</f>
        <v>16</v>
      </c>
      <c r="L31" s="3">
        <f>K31/I31*100</f>
        <v>3.225806451612903</v>
      </c>
      <c r="M31" s="3">
        <f>K31/J31*100</f>
        <v>3.125</v>
      </c>
      <c r="O31" s="3">
        <v>28.9</v>
      </c>
      <c r="P31" s="3">
        <v>28.9</v>
      </c>
      <c r="Q31" s="3">
        <v>28.7</v>
      </c>
      <c r="R31" s="3">
        <v>29</v>
      </c>
      <c r="S31" s="3">
        <v>29.2</v>
      </c>
      <c r="T31" s="3">
        <v>28.8</v>
      </c>
      <c r="U31" s="3">
        <v>28.8</v>
      </c>
      <c r="V31" s="3">
        <v>28.7</v>
      </c>
      <c r="W31" s="3">
        <v>28.1</v>
      </c>
      <c r="X31" s="3">
        <v>27.5</v>
      </c>
      <c r="Y31" s="3">
        <v>27.6</v>
      </c>
      <c r="Z31" s="3">
        <v>28.8</v>
      </c>
      <c r="AA31" s="3">
        <v>28.5</v>
      </c>
      <c r="AB31" s="3">
        <v>28.6</v>
      </c>
      <c r="AC31" s="3">
        <v>29.1</v>
      </c>
      <c r="AD31" s="3">
        <v>28.3</v>
      </c>
      <c r="AE31" s="3">
        <v>28.7</v>
      </c>
      <c r="AF31" s="3">
        <v>28.7</v>
      </c>
      <c r="AG31" s="3">
        <v>29.1</v>
      </c>
      <c r="AH31" s="3">
        <v>29.1</v>
      </c>
      <c r="AI31" s="3">
        <v>29.2</v>
      </c>
      <c r="AJ31" s="3">
        <v>28.6</v>
      </c>
      <c r="AK31" s="3">
        <v>28.8</v>
      </c>
      <c r="AL31" s="3">
        <v>28.4</v>
      </c>
      <c r="AM31" s="3">
        <v>28</v>
      </c>
      <c r="AN31" s="3">
        <v>28.7</v>
      </c>
      <c r="AO31" s="3">
        <v>29.3</v>
      </c>
      <c r="AP31" s="3">
        <v>28.6</v>
      </c>
      <c r="AQ31" s="3">
        <v>28.7</v>
      </c>
      <c r="AR31" s="3">
        <v>28.8</v>
      </c>
      <c r="AS31" s="3">
        <v>28.9</v>
      </c>
      <c r="AT31" s="3">
        <v>28.6</v>
      </c>
      <c r="AU31" s="3">
        <v>28.3</v>
      </c>
      <c r="AW31" s="3">
        <f>MIN(O31:AU31)</f>
        <v>27.5</v>
      </c>
      <c r="AX31" s="3">
        <f>MAX(O31:AU31)</f>
        <v>29.3</v>
      </c>
      <c r="AY31" s="3">
        <f>AX31-AW31</f>
        <v>1.8000000000000007</v>
      </c>
      <c r="AZ31" s="3">
        <f>AY31/AW31*100</f>
        <v>6.5454545454545476</v>
      </c>
      <c r="BA31" s="3">
        <f>AY31/AX31*100</f>
        <v>6.1433447098976135</v>
      </c>
    </row>
    <row r="33" spans="1:53" x14ac:dyDescent="0.15">
      <c r="A33" s="4" t="s">
        <v>0</v>
      </c>
      <c r="B33" s="2" t="s">
        <v>1</v>
      </c>
      <c r="C33" s="2" t="s">
        <v>2</v>
      </c>
      <c r="D33" s="2" t="s">
        <v>1</v>
      </c>
      <c r="E33" s="2" t="s">
        <v>2</v>
      </c>
      <c r="F33" s="2" t="s">
        <v>1</v>
      </c>
      <c r="G33" s="2" t="s">
        <v>2</v>
      </c>
      <c r="H33" s="2"/>
      <c r="I33" s="2"/>
      <c r="J33" s="2"/>
      <c r="K33" s="2"/>
      <c r="L33" s="2"/>
      <c r="M33" s="2"/>
      <c r="N33" s="2"/>
      <c r="O33" s="2" t="s">
        <v>3</v>
      </c>
      <c r="P33" s="2" t="s">
        <v>4</v>
      </c>
      <c r="Q33" s="2" t="s">
        <v>5</v>
      </c>
      <c r="R33" s="2" t="s">
        <v>6</v>
      </c>
      <c r="S33" s="2" t="s">
        <v>7</v>
      </c>
      <c r="T33" s="2" t="s">
        <v>8</v>
      </c>
      <c r="U33" s="2" t="s">
        <v>9</v>
      </c>
      <c r="V33" s="2" t="s">
        <v>10</v>
      </c>
      <c r="W33" s="2" t="s">
        <v>11</v>
      </c>
      <c r="X33" s="2" t="s">
        <v>12</v>
      </c>
      <c r="Y33" s="2" t="s">
        <v>13</v>
      </c>
      <c r="Z33" s="2" t="s">
        <v>3</v>
      </c>
      <c r="AA33" s="2" t="s">
        <v>4</v>
      </c>
      <c r="AB33" s="2" t="s">
        <v>5</v>
      </c>
      <c r="AC33" s="2" t="s">
        <v>6</v>
      </c>
      <c r="AD33" s="2" t="s">
        <v>7</v>
      </c>
      <c r="AE33" s="2" t="s">
        <v>8</v>
      </c>
      <c r="AF33" s="2" t="s">
        <v>9</v>
      </c>
      <c r="AG33" s="2" t="s">
        <v>10</v>
      </c>
      <c r="AH33" s="2" t="s">
        <v>11</v>
      </c>
      <c r="AI33" s="2" t="s">
        <v>12</v>
      </c>
      <c r="AJ33" s="2" t="s">
        <v>13</v>
      </c>
      <c r="AK33" s="2" t="s">
        <v>3</v>
      </c>
      <c r="AL33" s="2" t="s">
        <v>4</v>
      </c>
      <c r="AM33" s="2" t="s">
        <v>5</v>
      </c>
      <c r="AN33" s="2" t="s">
        <v>6</v>
      </c>
      <c r="AO33" s="2" t="s">
        <v>7</v>
      </c>
      <c r="AP33" s="2" t="s">
        <v>8</v>
      </c>
      <c r="AQ33" s="2" t="s">
        <v>9</v>
      </c>
      <c r="AR33" s="2" t="s">
        <v>10</v>
      </c>
      <c r="AS33" s="2" t="s">
        <v>11</v>
      </c>
      <c r="AT33" s="2" t="s">
        <v>12</v>
      </c>
      <c r="AU33" s="2" t="s">
        <v>13</v>
      </c>
    </row>
    <row r="34" spans="1:53" x14ac:dyDescent="0.15">
      <c r="A34" s="4" t="s">
        <v>29</v>
      </c>
      <c r="B34" s="3">
        <v>284</v>
      </c>
      <c r="C34" s="3">
        <v>279</v>
      </c>
      <c r="D34" s="3">
        <v>284</v>
      </c>
      <c r="E34" s="3">
        <v>286</v>
      </c>
      <c r="F34" s="3">
        <v>287</v>
      </c>
      <c r="G34" s="3">
        <v>289</v>
      </c>
      <c r="I34" s="3">
        <f>MIN(B34:G34)</f>
        <v>279</v>
      </c>
      <c r="J34" s="3">
        <f>MAX(B34:G34)</f>
        <v>289</v>
      </c>
      <c r="K34" s="3">
        <f>J34-I34</f>
        <v>10</v>
      </c>
      <c r="L34" s="3">
        <f>K34/I34*100</f>
        <v>3.5842293906810032</v>
      </c>
      <c r="M34" s="3">
        <f>K34/J34*100</f>
        <v>3.4602076124567476</v>
      </c>
      <c r="O34" s="3">
        <v>188</v>
      </c>
      <c r="P34" s="3">
        <v>194</v>
      </c>
      <c r="Q34" s="3">
        <v>178</v>
      </c>
      <c r="R34" s="3">
        <v>202</v>
      </c>
      <c r="S34" s="3">
        <v>193</v>
      </c>
      <c r="T34" s="3">
        <v>181</v>
      </c>
      <c r="U34" s="3">
        <v>198</v>
      </c>
      <c r="V34" s="3">
        <v>203</v>
      </c>
      <c r="W34" s="3">
        <v>198</v>
      </c>
      <c r="X34" s="3">
        <v>188</v>
      </c>
      <c r="Y34" s="3">
        <v>195</v>
      </c>
      <c r="Z34" s="3">
        <v>194</v>
      </c>
      <c r="AA34" s="3">
        <v>194</v>
      </c>
      <c r="AB34" s="3">
        <v>173</v>
      </c>
      <c r="AC34" s="3">
        <v>202</v>
      </c>
      <c r="AD34" s="3">
        <v>189</v>
      </c>
      <c r="AE34" s="3">
        <v>191</v>
      </c>
      <c r="AF34" s="3">
        <v>196</v>
      </c>
      <c r="AG34" s="3">
        <v>202</v>
      </c>
      <c r="AH34" s="3">
        <v>200</v>
      </c>
      <c r="AI34" s="3">
        <v>199</v>
      </c>
      <c r="AJ34" s="3">
        <v>193</v>
      </c>
      <c r="AK34" s="3">
        <v>193</v>
      </c>
      <c r="AL34" s="3">
        <v>195</v>
      </c>
      <c r="AM34" s="3">
        <v>194</v>
      </c>
      <c r="AN34" s="3">
        <v>188</v>
      </c>
      <c r="AO34" s="3">
        <v>193</v>
      </c>
      <c r="AP34" s="3">
        <v>203</v>
      </c>
      <c r="AQ34" s="3">
        <v>199</v>
      </c>
      <c r="AR34" s="3">
        <v>191</v>
      </c>
      <c r="AS34" s="3">
        <v>196</v>
      </c>
      <c r="AT34" s="3">
        <v>195</v>
      </c>
      <c r="AU34" s="3">
        <v>194</v>
      </c>
      <c r="AW34" s="3">
        <f>MIN(O34:AU34)</f>
        <v>173</v>
      </c>
      <c r="AX34" s="3">
        <f>MAX(O34:AU34)</f>
        <v>203</v>
      </c>
      <c r="AY34" s="3">
        <f>AX34-AW34</f>
        <v>30</v>
      </c>
      <c r="AZ34" s="3">
        <f>AY34/AW34*100</f>
        <v>17.341040462427745</v>
      </c>
      <c r="BA34" s="3">
        <f>AY34/AX34*100</f>
        <v>14.77832512315271</v>
      </c>
    </row>
    <row r="35" spans="1:53" x14ac:dyDescent="0.15">
      <c r="A35" s="4" t="s">
        <v>30</v>
      </c>
      <c r="B35" s="3">
        <v>257</v>
      </c>
      <c r="C35" s="3">
        <v>249</v>
      </c>
      <c r="D35" s="3">
        <v>253</v>
      </c>
      <c r="E35" s="3">
        <v>254</v>
      </c>
      <c r="F35" s="3">
        <v>255</v>
      </c>
      <c r="G35" s="3">
        <v>255</v>
      </c>
      <c r="I35" s="3">
        <f>MIN(B35:G35)</f>
        <v>249</v>
      </c>
      <c r="J35" s="3">
        <f>MAX(B35:G35)</f>
        <v>257</v>
      </c>
      <c r="K35" s="3">
        <f>J35-I35</f>
        <v>8</v>
      </c>
      <c r="L35" s="3">
        <f>K35/I35*100</f>
        <v>3.2128514056224895</v>
      </c>
      <c r="M35" s="3">
        <f>K35/J35*100</f>
        <v>3.1128404669260701</v>
      </c>
      <c r="O35" s="3">
        <v>198</v>
      </c>
      <c r="P35" s="3">
        <v>196</v>
      </c>
      <c r="Q35" s="3">
        <v>193</v>
      </c>
      <c r="R35" s="3">
        <v>202</v>
      </c>
      <c r="S35" s="3">
        <v>194</v>
      </c>
      <c r="T35" s="3">
        <v>195</v>
      </c>
      <c r="U35" s="3">
        <v>198</v>
      </c>
      <c r="V35" s="3">
        <v>204</v>
      </c>
      <c r="W35" s="3">
        <v>198</v>
      </c>
      <c r="X35" s="3">
        <v>194</v>
      </c>
      <c r="Y35" s="3">
        <v>196</v>
      </c>
      <c r="Z35" s="3">
        <v>195</v>
      </c>
      <c r="AA35" s="3">
        <v>196</v>
      </c>
      <c r="AB35" s="3">
        <v>192</v>
      </c>
      <c r="AC35" s="3">
        <v>200</v>
      </c>
      <c r="AD35" s="3">
        <v>189</v>
      </c>
      <c r="AE35" s="3">
        <v>191</v>
      </c>
      <c r="AF35" s="3">
        <v>196</v>
      </c>
      <c r="AG35" s="3">
        <v>203</v>
      </c>
      <c r="AH35" s="3">
        <v>194</v>
      </c>
      <c r="AI35" s="3">
        <v>199</v>
      </c>
      <c r="AJ35" s="3">
        <v>192</v>
      </c>
      <c r="AK35" s="3">
        <v>194</v>
      </c>
      <c r="AL35" s="3">
        <v>195</v>
      </c>
      <c r="AM35" s="3">
        <v>189</v>
      </c>
      <c r="AN35" s="3">
        <v>193</v>
      </c>
      <c r="AO35" s="3">
        <v>195</v>
      </c>
      <c r="AP35" s="3">
        <v>202</v>
      </c>
      <c r="AQ35" s="3">
        <v>199</v>
      </c>
      <c r="AR35" s="3">
        <v>191</v>
      </c>
      <c r="AS35" s="3">
        <v>196</v>
      </c>
      <c r="AT35" s="3">
        <v>195</v>
      </c>
      <c r="AU35" s="3">
        <v>192</v>
      </c>
      <c r="AW35" s="3">
        <f>MIN(O35:AU35)</f>
        <v>189</v>
      </c>
      <c r="AX35" s="3">
        <f>MAX(O35:AU35)</f>
        <v>204</v>
      </c>
      <c r="AY35" s="3">
        <f>AX35-AW35</f>
        <v>15</v>
      </c>
      <c r="AZ35" s="3">
        <f>AY35/AW35*100</f>
        <v>7.9365079365079358</v>
      </c>
      <c r="BA35" s="3">
        <f>AY35/AX35*100</f>
        <v>7.3529411764705888</v>
      </c>
    </row>
    <row r="36" spans="1:53" x14ac:dyDescent="0.15">
      <c r="A36" s="4" t="s">
        <v>31</v>
      </c>
      <c r="B36" s="3">
        <v>248</v>
      </c>
      <c r="C36" s="3">
        <v>247</v>
      </c>
      <c r="D36" s="3">
        <v>252</v>
      </c>
      <c r="E36" s="3">
        <v>261</v>
      </c>
      <c r="F36" s="3">
        <v>257</v>
      </c>
      <c r="G36" s="3">
        <v>246</v>
      </c>
      <c r="I36" s="3">
        <f>MIN(B36:G36)</f>
        <v>246</v>
      </c>
      <c r="J36" s="3">
        <f>MAX(B36:G36)</f>
        <v>261</v>
      </c>
      <c r="K36" s="3">
        <f>J36-I36</f>
        <v>15</v>
      </c>
      <c r="L36" s="3">
        <f>K36/I36*100</f>
        <v>6.0975609756097562</v>
      </c>
      <c r="M36" s="3">
        <f>K36/J36*100</f>
        <v>5.7471264367816088</v>
      </c>
      <c r="O36" s="3">
        <v>196</v>
      </c>
      <c r="P36" s="3">
        <v>197</v>
      </c>
      <c r="Q36" s="3">
        <v>192</v>
      </c>
      <c r="R36" s="3">
        <v>202</v>
      </c>
      <c r="S36" s="3">
        <v>196</v>
      </c>
      <c r="T36" s="3">
        <v>195</v>
      </c>
      <c r="U36" s="3">
        <v>199</v>
      </c>
      <c r="V36" s="3">
        <v>202</v>
      </c>
      <c r="W36" s="3">
        <v>197</v>
      </c>
      <c r="X36" s="3">
        <v>194</v>
      </c>
      <c r="Y36" s="3">
        <v>190</v>
      </c>
      <c r="Z36" s="3">
        <v>195</v>
      </c>
      <c r="AA36" s="3">
        <v>190</v>
      </c>
      <c r="AB36" s="3">
        <v>193</v>
      </c>
      <c r="AC36" s="3">
        <v>202</v>
      </c>
      <c r="AD36" s="3">
        <v>190</v>
      </c>
      <c r="AE36" s="3">
        <v>186</v>
      </c>
      <c r="AF36" s="3">
        <v>196</v>
      </c>
      <c r="AG36" s="3">
        <v>197</v>
      </c>
      <c r="AH36" s="3">
        <v>187</v>
      </c>
      <c r="AI36" s="3">
        <v>199</v>
      </c>
      <c r="AJ36" s="3">
        <v>192</v>
      </c>
      <c r="AK36" s="3">
        <v>188</v>
      </c>
      <c r="AL36" s="3">
        <v>195</v>
      </c>
      <c r="AM36" s="3">
        <v>193</v>
      </c>
      <c r="AN36" s="3">
        <v>193</v>
      </c>
      <c r="AO36" s="3">
        <v>195</v>
      </c>
      <c r="AP36" s="3">
        <v>203</v>
      </c>
      <c r="AQ36" s="3">
        <v>198</v>
      </c>
      <c r="AR36" s="3">
        <v>186</v>
      </c>
      <c r="AS36" s="3">
        <v>195</v>
      </c>
      <c r="AT36" s="3">
        <v>194</v>
      </c>
      <c r="AU36" s="3">
        <v>188</v>
      </c>
      <c r="AW36" s="3">
        <f>MIN(O36:AU36)</f>
        <v>186</v>
      </c>
      <c r="AX36" s="3">
        <f>MAX(O36:AU36)</f>
        <v>203</v>
      </c>
      <c r="AY36" s="3">
        <f>AX36-AW36</f>
        <v>17</v>
      </c>
      <c r="AZ36" s="3">
        <f>AY36/AW36*100</f>
        <v>9.1397849462365599</v>
      </c>
      <c r="BA36" s="3">
        <f>AY36/AX36*100</f>
        <v>8.3743842364532011</v>
      </c>
    </row>
    <row r="38" spans="1:53" x14ac:dyDescent="0.15">
      <c r="A38" s="4" t="s">
        <v>0</v>
      </c>
      <c r="B38" s="2" t="s">
        <v>1</v>
      </c>
      <c r="C38" s="2" t="s">
        <v>2</v>
      </c>
      <c r="D38" s="2" t="s">
        <v>1</v>
      </c>
      <c r="E38" s="2" t="s">
        <v>2</v>
      </c>
      <c r="F38" s="2" t="s">
        <v>1</v>
      </c>
      <c r="G38" s="2" t="s">
        <v>2</v>
      </c>
      <c r="H38" s="2"/>
      <c r="I38" s="2"/>
      <c r="J38" s="2"/>
      <c r="K38" s="2"/>
      <c r="L38" s="2"/>
      <c r="M38" s="2"/>
      <c r="N38" s="2"/>
      <c r="O38" s="2" t="s">
        <v>3</v>
      </c>
      <c r="P38" s="2" t="s">
        <v>4</v>
      </c>
      <c r="Q38" s="2" t="s">
        <v>5</v>
      </c>
      <c r="R38" s="2" t="s">
        <v>6</v>
      </c>
      <c r="S38" s="2" t="s">
        <v>7</v>
      </c>
      <c r="T38" s="2" t="s">
        <v>8</v>
      </c>
      <c r="U38" s="2" t="s">
        <v>9</v>
      </c>
      <c r="V38" s="2" t="s">
        <v>10</v>
      </c>
      <c r="W38" s="2" t="s">
        <v>11</v>
      </c>
      <c r="X38" s="2" t="s">
        <v>12</v>
      </c>
      <c r="Y38" s="2" t="s">
        <v>13</v>
      </c>
      <c r="Z38" s="2" t="s">
        <v>3</v>
      </c>
      <c r="AA38" s="2" t="s">
        <v>4</v>
      </c>
      <c r="AB38" s="2" t="s">
        <v>5</v>
      </c>
      <c r="AC38" s="2" t="s">
        <v>6</v>
      </c>
      <c r="AD38" s="2" t="s">
        <v>7</v>
      </c>
      <c r="AE38" s="2" t="s">
        <v>8</v>
      </c>
      <c r="AF38" s="2" t="s">
        <v>9</v>
      </c>
      <c r="AG38" s="2" t="s">
        <v>10</v>
      </c>
      <c r="AH38" s="2" t="s">
        <v>11</v>
      </c>
      <c r="AI38" s="2" t="s">
        <v>12</v>
      </c>
      <c r="AJ38" s="2" t="s">
        <v>13</v>
      </c>
      <c r="AK38" s="2" t="s">
        <v>3</v>
      </c>
      <c r="AL38" s="2" t="s">
        <v>4</v>
      </c>
      <c r="AM38" s="2" t="s">
        <v>5</v>
      </c>
      <c r="AN38" s="2" t="s">
        <v>6</v>
      </c>
      <c r="AO38" s="2" t="s">
        <v>7</v>
      </c>
      <c r="AP38" s="2" t="s">
        <v>8</v>
      </c>
      <c r="AQ38" s="2" t="s">
        <v>9</v>
      </c>
      <c r="AR38" s="2" t="s">
        <v>10</v>
      </c>
      <c r="AS38" s="2" t="s">
        <v>11</v>
      </c>
      <c r="AT38" s="2" t="s">
        <v>12</v>
      </c>
      <c r="AU38" s="2" t="s">
        <v>13</v>
      </c>
    </row>
    <row r="39" spans="1:53" x14ac:dyDescent="0.15">
      <c r="A39" s="4" t="s">
        <v>35</v>
      </c>
      <c r="B39" s="3">
        <v>521</v>
      </c>
      <c r="C39" s="3">
        <v>520</v>
      </c>
      <c r="D39" s="3">
        <v>519</v>
      </c>
      <c r="E39" s="3">
        <v>522</v>
      </c>
      <c r="F39" s="3">
        <v>520</v>
      </c>
      <c r="G39" s="3">
        <v>519</v>
      </c>
      <c r="I39" s="3">
        <f>MIN(B39:G39)</f>
        <v>519</v>
      </c>
      <c r="J39" s="3">
        <f>MAX(B39:G39)</f>
        <v>522</v>
      </c>
      <c r="K39" s="3">
        <f>J39-I39</f>
        <v>3</v>
      </c>
      <c r="L39" s="3">
        <f>K39/I39*100</f>
        <v>0.57803468208092479</v>
      </c>
      <c r="M39" s="3">
        <f>K39/J39*100</f>
        <v>0.57471264367816088</v>
      </c>
      <c r="O39" s="3">
        <v>206</v>
      </c>
      <c r="P39" s="3">
        <v>205</v>
      </c>
      <c r="Q39" s="3">
        <v>199</v>
      </c>
      <c r="R39" s="3">
        <v>211</v>
      </c>
      <c r="S39" s="3">
        <v>187</v>
      </c>
      <c r="T39" s="3">
        <v>205</v>
      </c>
      <c r="U39" s="3">
        <v>205</v>
      </c>
      <c r="V39" s="3">
        <v>209</v>
      </c>
      <c r="W39" s="3">
        <v>206</v>
      </c>
      <c r="X39" s="3">
        <v>201</v>
      </c>
      <c r="Y39" s="3">
        <v>203</v>
      </c>
      <c r="Z39" s="3">
        <v>204</v>
      </c>
      <c r="AA39" s="3">
        <v>194</v>
      </c>
      <c r="AB39" s="3">
        <v>200</v>
      </c>
      <c r="AC39" s="3">
        <v>209</v>
      </c>
      <c r="AD39" s="3">
        <v>196</v>
      </c>
      <c r="AE39" s="3">
        <v>200</v>
      </c>
      <c r="AF39" s="3">
        <v>203</v>
      </c>
      <c r="AG39" s="3">
        <v>211</v>
      </c>
      <c r="AH39" s="3">
        <v>208</v>
      </c>
      <c r="AI39" s="3">
        <v>206</v>
      </c>
      <c r="AJ39" s="3">
        <v>200</v>
      </c>
      <c r="AK39" s="3">
        <v>201</v>
      </c>
      <c r="AL39" s="3">
        <v>202</v>
      </c>
      <c r="AM39" s="3">
        <v>203</v>
      </c>
      <c r="AN39" s="3">
        <v>200</v>
      </c>
      <c r="AO39" s="3">
        <v>202</v>
      </c>
      <c r="AP39" s="3">
        <v>213</v>
      </c>
      <c r="AQ39" s="3">
        <v>206</v>
      </c>
      <c r="AR39" s="3">
        <v>197</v>
      </c>
      <c r="AS39" s="3">
        <v>203</v>
      </c>
      <c r="AT39" s="3">
        <v>203</v>
      </c>
      <c r="AU39" s="3">
        <v>203</v>
      </c>
      <c r="AW39" s="3">
        <f>MIN(O39:AU39)</f>
        <v>187</v>
      </c>
      <c r="AX39" s="3">
        <f>MAX(O39:AU39)</f>
        <v>213</v>
      </c>
      <c r="AY39" s="3">
        <f>AX39-AW39</f>
        <v>26</v>
      </c>
      <c r="AZ39" s="3">
        <f>AY39/AW39*100</f>
        <v>13.903743315508022</v>
      </c>
      <c r="BA39" s="3">
        <f>AY39/AX39*100</f>
        <v>12.206572769953052</v>
      </c>
    </row>
    <row r="40" spans="1:53" x14ac:dyDescent="0.15">
      <c r="A40" s="4" t="s">
        <v>36</v>
      </c>
      <c r="B40" s="3">
        <v>520</v>
      </c>
      <c r="C40" s="3">
        <v>521</v>
      </c>
      <c r="D40" s="3">
        <v>517</v>
      </c>
      <c r="E40" s="3">
        <v>518</v>
      </c>
      <c r="F40" s="3">
        <v>522</v>
      </c>
      <c r="G40" s="3">
        <v>464</v>
      </c>
      <c r="I40" s="3">
        <f>MIN(B40:G40)</f>
        <v>464</v>
      </c>
      <c r="J40" s="3">
        <f>MAX(B40:G40)</f>
        <v>522</v>
      </c>
      <c r="K40" s="3">
        <f>J40-I40</f>
        <v>58</v>
      </c>
      <c r="L40" s="3">
        <f>K40/I40*100</f>
        <v>12.5</v>
      </c>
      <c r="M40" s="3">
        <f>K40/J40*100</f>
        <v>11.111111111111111</v>
      </c>
      <c r="O40" s="3">
        <v>207</v>
      </c>
      <c r="P40" s="3">
        <v>205</v>
      </c>
      <c r="Q40" s="3">
        <v>199</v>
      </c>
      <c r="R40" s="3">
        <v>210</v>
      </c>
      <c r="S40" s="3">
        <v>206</v>
      </c>
      <c r="T40" s="3">
        <v>204</v>
      </c>
      <c r="U40" s="3">
        <v>206</v>
      </c>
      <c r="V40" s="3">
        <v>212</v>
      </c>
      <c r="W40" s="3">
        <v>205</v>
      </c>
      <c r="X40" s="3">
        <v>201</v>
      </c>
      <c r="Y40" s="3">
        <v>203</v>
      </c>
      <c r="Z40" s="3">
        <v>204</v>
      </c>
      <c r="AA40" s="3">
        <v>203</v>
      </c>
      <c r="AB40" s="3">
        <v>200</v>
      </c>
      <c r="AC40" s="3">
        <v>209</v>
      </c>
      <c r="AD40" s="3">
        <v>194</v>
      </c>
      <c r="AE40" s="3">
        <v>186</v>
      </c>
      <c r="AF40" s="3">
        <v>202</v>
      </c>
      <c r="AG40" s="3">
        <v>211</v>
      </c>
      <c r="AH40" s="3">
        <v>208</v>
      </c>
      <c r="AI40" s="3">
        <v>206</v>
      </c>
      <c r="AJ40" s="3">
        <v>200</v>
      </c>
      <c r="AK40" s="3">
        <v>201</v>
      </c>
      <c r="AL40" s="3">
        <v>200</v>
      </c>
      <c r="AM40" s="3">
        <v>204</v>
      </c>
      <c r="AN40" s="3">
        <v>200</v>
      </c>
      <c r="AO40" s="3">
        <v>203</v>
      </c>
      <c r="AP40" s="3">
        <v>213</v>
      </c>
      <c r="AQ40" s="3">
        <v>205</v>
      </c>
      <c r="AR40" s="3">
        <v>197</v>
      </c>
      <c r="AS40" s="3">
        <v>203</v>
      </c>
      <c r="AT40" s="3">
        <v>203</v>
      </c>
      <c r="AU40" s="3">
        <v>203</v>
      </c>
      <c r="AW40" s="3">
        <f>MIN(O40:AU40)</f>
        <v>186</v>
      </c>
      <c r="AX40" s="3">
        <f>MAX(O40:AU40)</f>
        <v>213</v>
      </c>
      <c r="AY40" s="3">
        <f>AX40-AW40</f>
        <v>27</v>
      </c>
      <c r="AZ40" s="3">
        <f>AY40/AW40*100</f>
        <v>14.516129032258066</v>
      </c>
      <c r="BA40" s="3">
        <f>AY40/AX40*100</f>
        <v>12.676056338028168</v>
      </c>
    </row>
    <row r="41" spans="1:53" x14ac:dyDescent="0.15">
      <c r="A41" s="4" t="s">
        <v>37</v>
      </c>
      <c r="B41" s="3">
        <v>522</v>
      </c>
      <c r="C41" s="3">
        <v>522</v>
      </c>
      <c r="D41" s="3">
        <v>520</v>
      </c>
      <c r="E41" s="3">
        <v>520</v>
      </c>
      <c r="F41" s="3">
        <v>521</v>
      </c>
      <c r="G41" s="3">
        <v>521</v>
      </c>
      <c r="I41" s="3">
        <f>MIN(B41:G41)</f>
        <v>520</v>
      </c>
      <c r="J41" s="3">
        <f>MAX(B41:G41)</f>
        <v>522</v>
      </c>
      <c r="K41" s="3">
        <f>J41-I41</f>
        <v>2</v>
      </c>
      <c r="L41" s="3">
        <f>K41/I41*100</f>
        <v>0.38461538461538464</v>
      </c>
      <c r="M41" s="3">
        <f>K41/J41*100</f>
        <v>0.38314176245210724</v>
      </c>
      <c r="O41" s="3">
        <v>192</v>
      </c>
      <c r="P41" s="3">
        <v>205</v>
      </c>
      <c r="Q41" s="3">
        <v>200</v>
      </c>
      <c r="R41" s="3">
        <v>211</v>
      </c>
      <c r="S41" s="3">
        <v>206</v>
      </c>
      <c r="T41" s="3">
        <v>205</v>
      </c>
      <c r="U41" s="3">
        <v>206</v>
      </c>
      <c r="V41" s="3">
        <v>212</v>
      </c>
      <c r="W41" s="3">
        <v>205</v>
      </c>
      <c r="X41" s="3">
        <v>201</v>
      </c>
      <c r="Y41" s="3">
        <v>203</v>
      </c>
      <c r="Z41" s="3">
        <v>204</v>
      </c>
      <c r="AA41" s="3">
        <v>203</v>
      </c>
      <c r="AB41" s="3">
        <v>199</v>
      </c>
      <c r="AC41" s="3">
        <v>209</v>
      </c>
      <c r="AD41" s="3">
        <v>197</v>
      </c>
      <c r="AE41" s="3">
        <v>201</v>
      </c>
      <c r="AF41" s="3">
        <v>204</v>
      </c>
      <c r="AG41" s="3">
        <v>211</v>
      </c>
      <c r="AH41" s="3">
        <v>208</v>
      </c>
      <c r="AI41" s="3">
        <v>207</v>
      </c>
      <c r="AJ41" s="3">
        <v>200</v>
      </c>
      <c r="AK41" s="3">
        <v>201</v>
      </c>
      <c r="AL41" s="3">
        <v>202</v>
      </c>
      <c r="AM41" s="3">
        <v>203</v>
      </c>
      <c r="AN41" s="3">
        <v>201</v>
      </c>
      <c r="AO41" s="3">
        <v>202</v>
      </c>
      <c r="AP41" s="3">
        <v>213</v>
      </c>
      <c r="AQ41" s="3">
        <v>206</v>
      </c>
      <c r="AR41" s="3">
        <v>197</v>
      </c>
      <c r="AS41" s="3">
        <v>203</v>
      </c>
      <c r="AT41" s="3">
        <v>203</v>
      </c>
      <c r="AU41" s="3">
        <v>203</v>
      </c>
      <c r="AW41" s="3">
        <f>MIN(O41:AU41)</f>
        <v>192</v>
      </c>
      <c r="AX41" s="3">
        <f>MAX(O41:AU41)</f>
        <v>213</v>
      </c>
      <c r="AY41" s="3">
        <f>AX41-AW41</f>
        <v>21</v>
      </c>
      <c r="AZ41" s="3">
        <f>AY41/AW41*100</f>
        <v>10.9375</v>
      </c>
      <c r="BA41" s="3">
        <f>AY41/AX41*100</f>
        <v>9.8591549295774641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IOPS</vt:lpstr>
      <vt:lpstr>BW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 Tian1 Liu</dc:creator>
  <cp:lastModifiedBy>Tian Tian1 Liu</cp:lastModifiedBy>
  <dcterms:created xsi:type="dcterms:W3CDTF">2018-07-18T03:14:58Z</dcterms:created>
  <dcterms:modified xsi:type="dcterms:W3CDTF">2018-07-19T06:21:07Z</dcterms:modified>
</cp:coreProperties>
</file>