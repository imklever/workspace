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utian1\Desktop\fio_result\"/>
    </mc:Choice>
  </mc:AlternateContent>
  <bookViews>
    <workbookView xWindow="240" yWindow="15" windowWidth="16095" windowHeight="9660"/>
  </bookViews>
  <sheets>
    <sheet name="IOPS" sheetId="1" r:id="rId1"/>
    <sheet name="percent of iops improment" sheetId="3" r:id="rId2"/>
    <sheet name="BW" sheetId="2" r:id="rId3"/>
    <sheet name="percent of BW improment" sheetId="4" r:id="rId4"/>
  </sheets>
  <calcPr calcId="162913"/>
</workbook>
</file>

<file path=xl/calcChain.xml><?xml version="1.0" encoding="utf-8"?>
<calcChain xmlns="http://schemas.openxmlformats.org/spreadsheetml/2006/main">
  <c r="AV97" i="2" l="1"/>
  <c r="AU97" i="2"/>
  <c r="AT97" i="2"/>
  <c r="AV96" i="2"/>
  <c r="AU96" i="2"/>
  <c r="AT96" i="2"/>
  <c r="AV95" i="2"/>
  <c r="AU95" i="2"/>
  <c r="AT95" i="2"/>
  <c r="AV94" i="2"/>
  <c r="AU94" i="2"/>
  <c r="AT94" i="2"/>
  <c r="AV93" i="2"/>
  <c r="AU93" i="2"/>
  <c r="AT93" i="2"/>
  <c r="AV91" i="2"/>
  <c r="AU91" i="2"/>
  <c r="AT91" i="2"/>
  <c r="AV90" i="2"/>
  <c r="AU90" i="2"/>
  <c r="AT90" i="2"/>
  <c r="AV89" i="2"/>
  <c r="AU89" i="2"/>
  <c r="AT89" i="2"/>
  <c r="AV88" i="2"/>
  <c r="AU88" i="2"/>
  <c r="AT88" i="2"/>
  <c r="AV87" i="2"/>
  <c r="AU87" i="2"/>
  <c r="AT87" i="2"/>
  <c r="AV85" i="2"/>
  <c r="AU85" i="2"/>
  <c r="AT85" i="2"/>
  <c r="AV84" i="2"/>
  <c r="AU84" i="2"/>
  <c r="AT84" i="2"/>
  <c r="AV83" i="2"/>
  <c r="AU83" i="2"/>
  <c r="AT83" i="2"/>
  <c r="AV82" i="2"/>
  <c r="AU82" i="2"/>
  <c r="AT82" i="2"/>
  <c r="AV81" i="2"/>
  <c r="AU81" i="2"/>
  <c r="AT81" i="2"/>
  <c r="AV71" i="2"/>
  <c r="AU71" i="2"/>
  <c r="AT71" i="2"/>
  <c r="AV70" i="2"/>
  <c r="AU70" i="2"/>
  <c r="AT70" i="2"/>
  <c r="AV69" i="2"/>
  <c r="AU69" i="2"/>
  <c r="AT69" i="2"/>
  <c r="AV68" i="2"/>
  <c r="AU68" i="2"/>
  <c r="AT68" i="2"/>
  <c r="AV67" i="2"/>
  <c r="AU67" i="2"/>
  <c r="AT67" i="2"/>
  <c r="AV65" i="2"/>
  <c r="AU65" i="2"/>
  <c r="AT65" i="2"/>
  <c r="AV64" i="2"/>
  <c r="AU64" i="2"/>
  <c r="AT64" i="2"/>
  <c r="AV63" i="2"/>
  <c r="AU63" i="2"/>
  <c r="AT63" i="2"/>
  <c r="AV62" i="2"/>
  <c r="AU62" i="2"/>
  <c r="AT62" i="2"/>
  <c r="AV61" i="2"/>
  <c r="AU61" i="2"/>
  <c r="AT61" i="2"/>
  <c r="AV59" i="2"/>
  <c r="AU59" i="2"/>
  <c r="AT59" i="2"/>
  <c r="AV58" i="2"/>
  <c r="AU58" i="2"/>
  <c r="AT58" i="2"/>
  <c r="AV57" i="2"/>
  <c r="AU57" i="2"/>
  <c r="AT57" i="2"/>
  <c r="AV56" i="2"/>
  <c r="AU56" i="2"/>
  <c r="AT56" i="2"/>
  <c r="AV55" i="2"/>
  <c r="AU55" i="2"/>
  <c r="AT55" i="2"/>
  <c r="AV45" i="2"/>
  <c r="AU45" i="2"/>
  <c r="AT45" i="2"/>
  <c r="AV44" i="2"/>
  <c r="AU44" i="2"/>
  <c r="AT44" i="2"/>
  <c r="AV43" i="2"/>
  <c r="AU43" i="2"/>
  <c r="AT43" i="2"/>
  <c r="AV42" i="2"/>
  <c r="AU42" i="2"/>
  <c r="AT42" i="2"/>
  <c r="AV41" i="2"/>
  <c r="AU41" i="2"/>
  <c r="AT41" i="2"/>
  <c r="AV39" i="2"/>
  <c r="AU39" i="2"/>
  <c r="AT39" i="2"/>
  <c r="AV38" i="2"/>
  <c r="AU38" i="2"/>
  <c r="AT38" i="2"/>
  <c r="AV37" i="2"/>
  <c r="AU37" i="2"/>
  <c r="AT37" i="2"/>
  <c r="AV36" i="2"/>
  <c r="AU36" i="2"/>
  <c r="AT36" i="2"/>
  <c r="AV35" i="2"/>
  <c r="AU35" i="2"/>
  <c r="AT35" i="2"/>
  <c r="AV33" i="2"/>
  <c r="AU33" i="2"/>
  <c r="AT33" i="2"/>
  <c r="AV32" i="2"/>
  <c r="AU32" i="2"/>
  <c r="AT32" i="2"/>
  <c r="AV31" i="2"/>
  <c r="AU31" i="2"/>
  <c r="AT31" i="2"/>
  <c r="AV30" i="2"/>
  <c r="AU30" i="2"/>
  <c r="AT30" i="2"/>
  <c r="AV29" i="2"/>
  <c r="AU29" i="2"/>
  <c r="AT29" i="2"/>
  <c r="AV19" i="2"/>
  <c r="AU19" i="2"/>
  <c r="AT19" i="2"/>
  <c r="AV18" i="2"/>
  <c r="AU18" i="2"/>
  <c r="AT18" i="2"/>
  <c r="AV17" i="2"/>
  <c r="AU17" i="2"/>
  <c r="AT17" i="2"/>
  <c r="AV16" i="2"/>
  <c r="AU16" i="2"/>
  <c r="AT16" i="2"/>
  <c r="AV15" i="2"/>
  <c r="AU15" i="2"/>
  <c r="AT15" i="2"/>
  <c r="AV13" i="2"/>
  <c r="AU13" i="2"/>
  <c r="AT13" i="2"/>
  <c r="AV12" i="2"/>
  <c r="AU12" i="2"/>
  <c r="AT12" i="2"/>
  <c r="AV11" i="2"/>
  <c r="AU11" i="2"/>
  <c r="AT11" i="2"/>
  <c r="AV10" i="2"/>
  <c r="AU10" i="2"/>
  <c r="AT10" i="2"/>
  <c r="AV9" i="2"/>
  <c r="AU9" i="2"/>
  <c r="AT9" i="2"/>
  <c r="AV7" i="2"/>
  <c r="AU7" i="2"/>
  <c r="AT7" i="2"/>
  <c r="AV6" i="2"/>
  <c r="AU6" i="2"/>
  <c r="AT6" i="2"/>
  <c r="AV5" i="2"/>
  <c r="AU5" i="2"/>
  <c r="AT5" i="2"/>
  <c r="AV4" i="2"/>
  <c r="AU4" i="2"/>
  <c r="AT4" i="2"/>
  <c r="AV3" i="2"/>
  <c r="AU3" i="2"/>
  <c r="AT3" i="2"/>
  <c r="AV86" i="1"/>
  <c r="AU86" i="1"/>
  <c r="AT86" i="1"/>
  <c r="AV85" i="1"/>
  <c r="AU85" i="1"/>
  <c r="AT85" i="1"/>
  <c r="AV80" i="1"/>
  <c r="AU80" i="1"/>
  <c r="AT80" i="1"/>
  <c r="AV79" i="1"/>
  <c r="AU79" i="1"/>
  <c r="AT79" i="1"/>
  <c r="AV74" i="1"/>
  <c r="AU74" i="1"/>
  <c r="AT74" i="1"/>
  <c r="AV73" i="1"/>
  <c r="AU73" i="1"/>
  <c r="AT73" i="1"/>
  <c r="AV63" i="1"/>
  <c r="AU63" i="1"/>
  <c r="AT63" i="1"/>
  <c r="AV62" i="1"/>
  <c r="AU62" i="1"/>
  <c r="AT62" i="1"/>
  <c r="AV57" i="1"/>
  <c r="AU57" i="1"/>
  <c r="AT57" i="1"/>
  <c r="AV56" i="1"/>
  <c r="AU56" i="1"/>
  <c r="AT56" i="1"/>
  <c r="AV51" i="1"/>
  <c r="AU51" i="1"/>
  <c r="AT51" i="1"/>
  <c r="AV50" i="1"/>
  <c r="AU50" i="1"/>
  <c r="AT50" i="1"/>
  <c r="AV40" i="1"/>
  <c r="AU40" i="1"/>
  <c r="AT40" i="1"/>
  <c r="AV39" i="1"/>
  <c r="AU39" i="1"/>
  <c r="AT39" i="1"/>
  <c r="AV34" i="1"/>
  <c r="AU34" i="1"/>
  <c r="AT34" i="1"/>
  <c r="AV33" i="1"/>
  <c r="AU33" i="1"/>
  <c r="AT33" i="1"/>
  <c r="AV28" i="1"/>
  <c r="AU28" i="1"/>
  <c r="AT28" i="1"/>
  <c r="AV27" i="1"/>
  <c r="AU27" i="1"/>
  <c r="AT27" i="1"/>
  <c r="AV17" i="1"/>
  <c r="AU17" i="1"/>
  <c r="AT17" i="1"/>
  <c r="AV16" i="1"/>
  <c r="AU16" i="1"/>
  <c r="AT16" i="1"/>
  <c r="AV11" i="1"/>
  <c r="AU11" i="1"/>
  <c r="AT11" i="1"/>
  <c r="AV10" i="1"/>
  <c r="AU10" i="1"/>
  <c r="AT10" i="1"/>
  <c r="AV5" i="1"/>
  <c r="AU5" i="1"/>
  <c r="AT5" i="1"/>
  <c r="AV4" i="1"/>
  <c r="AU4" i="1"/>
  <c r="AT4" i="1"/>
  <c r="J94" i="2" l="1"/>
  <c r="I94" i="2"/>
  <c r="H94" i="2"/>
  <c r="J93" i="2"/>
  <c r="I93" i="2"/>
  <c r="H93" i="2"/>
  <c r="J88" i="2"/>
  <c r="I88" i="2"/>
  <c r="H88" i="2"/>
  <c r="J87" i="2"/>
  <c r="I87" i="2"/>
  <c r="H87" i="2"/>
  <c r="J82" i="2"/>
  <c r="I82" i="2"/>
  <c r="H82" i="2"/>
  <c r="J81" i="2"/>
  <c r="I81" i="2"/>
  <c r="H81" i="2"/>
  <c r="J68" i="2"/>
  <c r="I68" i="2"/>
  <c r="H68" i="2"/>
  <c r="J67" i="2"/>
  <c r="I67" i="2"/>
  <c r="H67" i="2"/>
  <c r="J62" i="2"/>
  <c r="I62" i="2"/>
  <c r="H62" i="2"/>
  <c r="J61" i="2"/>
  <c r="I61" i="2"/>
  <c r="H61" i="2"/>
  <c r="J56" i="2"/>
  <c r="I56" i="2"/>
  <c r="H56" i="2"/>
  <c r="J55" i="2"/>
  <c r="I55" i="2"/>
  <c r="H55" i="2"/>
  <c r="J42" i="2"/>
  <c r="I42" i="2"/>
  <c r="H42" i="2"/>
  <c r="J41" i="2"/>
  <c r="I41" i="2"/>
  <c r="H41" i="2"/>
  <c r="J36" i="2"/>
  <c r="I36" i="2"/>
  <c r="H36" i="2"/>
  <c r="J35" i="2"/>
  <c r="I35" i="2"/>
  <c r="H35" i="2"/>
  <c r="J30" i="2"/>
  <c r="I30" i="2"/>
  <c r="H30" i="2"/>
  <c r="J29" i="2"/>
  <c r="I29" i="2"/>
  <c r="H29" i="2"/>
  <c r="J16" i="2"/>
  <c r="I16" i="2"/>
  <c r="H16" i="2"/>
  <c r="J15" i="2"/>
  <c r="I15" i="2"/>
  <c r="H15" i="2"/>
  <c r="J10" i="2"/>
  <c r="I10" i="2"/>
  <c r="H10" i="2"/>
  <c r="J9" i="2"/>
  <c r="I9" i="2"/>
  <c r="H9" i="2"/>
  <c r="J4" i="2"/>
  <c r="I4" i="2"/>
  <c r="H4" i="2"/>
  <c r="J3" i="2"/>
  <c r="I3" i="2"/>
  <c r="H3" i="2"/>
  <c r="J86" i="1"/>
  <c r="I86" i="1"/>
  <c r="H86" i="1"/>
  <c r="J85" i="1"/>
  <c r="I85" i="1"/>
  <c r="H85" i="1"/>
  <c r="J80" i="1"/>
  <c r="I80" i="1"/>
  <c r="H80" i="1"/>
  <c r="J79" i="1"/>
  <c r="I79" i="1"/>
  <c r="H79" i="1"/>
  <c r="J74" i="1"/>
  <c r="I74" i="1"/>
  <c r="H74" i="1"/>
  <c r="J73" i="1"/>
  <c r="I73" i="1"/>
  <c r="H73" i="1"/>
  <c r="J63" i="1"/>
  <c r="I63" i="1"/>
  <c r="H63" i="1"/>
  <c r="J62" i="1"/>
  <c r="I62" i="1"/>
  <c r="H62" i="1"/>
  <c r="J57" i="1"/>
  <c r="I57" i="1"/>
  <c r="H57" i="1"/>
  <c r="J56" i="1"/>
  <c r="I56" i="1"/>
  <c r="H56" i="1"/>
  <c r="J51" i="1"/>
  <c r="I51" i="1"/>
  <c r="H51" i="1"/>
  <c r="J50" i="1"/>
  <c r="I50" i="1"/>
  <c r="H50" i="1"/>
  <c r="J40" i="1"/>
  <c r="I40" i="1"/>
  <c r="H40" i="1"/>
  <c r="J39" i="1"/>
  <c r="I39" i="1"/>
  <c r="H39" i="1"/>
  <c r="J34" i="1"/>
  <c r="I34" i="1"/>
  <c r="H34" i="1"/>
  <c r="J33" i="1"/>
  <c r="I33" i="1"/>
  <c r="H33" i="1"/>
  <c r="J28" i="1"/>
  <c r="I28" i="1"/>
  <c r="H28" i="1"/>
  <c r="J27" i="1"/>
  <c r="I27" i="1"/>
  <c r="H27" i="1"/>
  <c r="J17" i="1"/>
  <c r="I17" i="1"/>
  <c r="H17" i="1"/>
  <c r="J16" i="1"/>
  <c r="I16" i="1"/>
  <c r="H16" i="1"/>
  <c r="J11" i="1"/>
  <c r="I11" i="1"/>
  <c r="H11" i="1"/>
  <c r="J10" i="1"/>
  <c r="I10" i="1"/>
  <c r="H10" i="1"/>
  <c r="J5" i="1"/>
  <c r="I5" i="1"/>
  <c r="H5" i="1"/>
  <c r="J4" i="1"/>
  <c r="I4" i="1"/>
  <c r="H4" i="1"/>
  <c r="AS87" i="1" l="1"/>
  <c r="AR87" i="1"/>
  <c r="AQ87" i="1"/>
  <c r="AQ88" i="1" s="1"/>
  <c r="AP87" i="1"/>
  <c r="AO87" i="1"/>
  <c r="AO89" i="1" s="1"/>
  <c r="AN87" i="1"/>
  <c r="AM87" i="1"/>
  <c r="AL87" i="1"/>
  <c r="AL89" i="1" s="1"/>
  <c r="AK87" i="1"/>
  <c r="AJ87" i="1"/>
  <c r="AI87" i="1"/>
  <c r="AI88" i="1" s="1"/>
  <c r="AH87" i="1"/>
  <c r="AG87" i="1"/>
  <c r="AG89" i="1" s="1"/>
  <c r="AF87" i="1"/>
  <c r="AE87" i="1"/>
  <c r="AD87" i="1"/>
  <c r="AD89" i="1" s="1"/>
  <c r="AC87" i="1"/>
  <c r="AB87" i="1"/>
  <c r="AA87" i="1"/>
  <c r="AA88" i="1" s="1"/>
  <c r="Z87" i="1"/>
  <c r="Y87" i="1"/>
  <c r="Y89" i="1" s="1"/>
  <c r="X87" i="1"/>
  <c r="W87" i="1"/>
  <c r="V87" i="1"/>
  <c r="V89" i="1" s="1"/>
  <c r="U87" i="1"/>
  <c r="T87" i="1"/>
  <c r="S87" i="1"/>
  <c r="S88" i="1" s="1"/>
  <c r="R87" i="1"/>
  <c r="Q87" i="1"/>
  <c r="Q89" i="1" s="1"/>
  <c r="P87" i="1"/>
  <c r="O87" i="1"/>
  <c r="N87" i="1"/>
  <c r="N89" i="1" s="1"/>
  <c r="M87" i="1"/>
  <c r="G87" i="1"/>
  <c r="F87" i="1"/>
  <c r="F88" i="1" s="1"/>
  <c r="E87" i="1"/>
  <c r="D87" i="1"/>
  <c r="D89" i="1" s="1"/>
  <c r="C87" i="1"/>
  <c r="B87" i="1"/>
  <c r="AS81" i="1"/>
  <c r="AS83" i="1" s="1"/>
  <c r="AR81" i="1"/>
  <c r="AQ81" i="1"/>
  <c r="AP81" i="1"/>
  <c r="AP82" i="1" s="1"/>
  <c r="AO81" i="1"/>
  <c r="AN81" i="1"/>
  <c r="AN83" i="1" s="1"/>
  <c r="AM81" i="1"/>
  <c r="AL81" i="1"/>
  <c r="AK81" i="1"/>
  <c r="AK83" i="1" s="1"/>
  <c r="AJ81" i="1"/>
  <c r="AI81" i="1"/>
  <c r="AH81" i="1"/>
  <c r="AH82" i="1" s="1"/>
  <c r="AG81" i="1"/>
  <c r="AF81" i="1"/>
  <c r="AF83" i="1" s="1"/>
  <c r="AE81" i="1"/>
  <c r="AD81" i="1"/>
  <c r="AC81" i="1"/>
  <c r="AC83" i="1" s="1"/>
  <c r="AB81" i="1"/>
  <c r="AA81" i="1"/>
  <c r="Z81" i="1"/>
  <c r="Z82" i="1" s="1"/>
  <c r="Y81" i="1"/>
  <c r="X81" i="1"/>
  <c r="X83" i="1" s="1"/>
  <c r="W81" i="1"/>
  <c r="V81" i="1"/>
  <c r="U81" i="1"/>
  <c r="U83" i="1" s="1"/>
  <c r="T81" i="1"/>
  <c r="S81" i="1"/>
  <c r="R81" i="1"/>
  <c r="R82" i="1" s="1"/>
  <c r="Q81" i="1"/>
  <c r="P81" i="1"/>
  <c r="P83" i="1" s="1"/>
  <c r="O81" i="1"/>
  <c r="N81" i="1"/>
  <c r="M81" i="1"/>
  <c r="G81" i="1"/>
  <c r="F81" i="1"/>
  <c r="E81" i="1"/>
  <c r="E82" i="1" s="1"/>
  <c r="D81" i="1"/>
  <c r="C81" i="1"/>
  <c r="C83" i="1" s="1"/>
  <c r="B81" i="1"/>
  <c r="AS75" i="1"/>
  <c r="AR75" i="1"/>
  <c r="AQ75" i="1"/>
  <c r="AP75" i="1"/>
  <c r="AO75" i="1"/>
  <c r="AO76" i="1" s="1"/>
  <c r="AN75" i="1"/>
  <c r="AM75" i="1"/>
  <c r="AM77" i="1" s="1"/>
  <c r="AL75" i="1"/>
  <c r="AK75" i="1"/>
  <c r="AJ75" i="1"/>
  <c r="AI75" i="1"/>
  <c r="AH75" i="1"/>
  <c r="AG75" i="1"/>
  <c r="AG76" i="1" s="1"/>
  <c r="AF75" i="1"/>
  <c r="AE75" i="1"/>
  <c r="AE77" i="1" s="1"/>
  <c r="AD75" i="1"/>
  <c r="AC75" i="1"/>
  <c r="AB75" i="1"/>
  <c r="AA75" i="1"/>
  <c r="Z75" i="1"/>
  <c r="Y75" i="1"/>
  <c r="Y76" i="1" s="1"/>
  <c r="X75" i="1"/>
  <c r="W75" i="1"/>
  <c r="W77" i="1" s="1"/>
  <c r="V75" i="1"/>
  <c r="U75" i="1"/>
  <c r="T75" i="1"/>
  <c r="S75" i="1"/>
  <c r="R75" i="1"/>
  <c r="Q75" i="1"/>
  <c r="Q76" i="1" s="1"/>
  <c r="P75" i="1"/>
  <c r="O75" i="1"/>
  <c r="O77" i="1" s="1"/>
  <c r="N75" i="1"/>
  <c r="M75" i="1"/>
  <c r="G75" i="1"/>
  <c r="F75" i="1"/>
  <c r="E75" i="1"/>
  <c r="D75" i="1"/>
  <c r="D76" i="1" s="1"/>
  <c r="C75" i="1"/>
  <c r="B75" i="1"/>
  <c r="B76" i="1" s="1"/>
  <c r="AS64" i="1"/>
  <c r="AR64" i="1"/>
  <c r="AQ64" i="1"/>
  <c r="AP64" i="1"/>
  <c r="AO64" i="1"/>
  <c r="AN64" i="1"/>
  <c r="AN65" i="1" s="1"/>
  <c r="AM64" i="1"/>
  <c r="AL64" i="1"/>
  <c r="AL66" i="1" s="1"/>
  <c r="AK64" i="1"/>
  <c r="AJ64" i="1"/>
  <c r="AI64" i="1"/>
  <c r="AH64" i="1"/>
  <c r="AG64" i="1"/>
  <c r="AF64" i="1"/>
  <c r="AF65" i="1" s="1"/>
  <c r="AE64" i="1"/>
  <c r="AD64" i="1"/>
  <c r="AD66" i="1" s="1"/>
  <c r="AC64" i="1"/>
  <c r="AB64" i="1"/>
  <c r="AA64" i="1"/>
  <c r="Z64" i="1"/>
  <c r="Y64" i="1"/>
  <c r="X64" i="1"/>
  <c r="X65" i="1" s="1"/>
  <c r="W64" i="1"/>
  <c r="V64" i="1"/>
  <c r="V66" i="1" s="1"/>
  <c r="U64" i="1"/>
  <c r="T64" i="1"/>
  <c r="S64" i="1"/>
  <c r="R64" i="1"/>
  <c r="Q64" i="1"/>
  <c r="P64" i="1"/>
  <c r="P65" i="1" s="1"/>
  <c r="O64" i="1"/>
  <c r="N64" i="1"/>
  <c r="N66" i="1" s="1"/>
  <c r="M64" i="1"/>
  <c r="G64" i="1"/>
  <c r="F64" i="1"/>
  <c r="E64" i="1"/>
  <c r="D64" i="1"/>
  <c r="C64" i="1"/>
  <c r="C65" i="1" s="1"/>
  <c r="B64" i="1"/>
  <c r="AS58" i="1"/>
  <c r="AS60" i="1" s="1"/>
  <c r="AR58" i="1"/>
  <c r="AQ58" i="1"/>
  <c r="AP58" i="1"/>
  <c r="AO58" i="1"/>
  <c r="AN58" i="1"/>
  <c r="AM58" i="1"/>
  <c r="AM59" i="1" s="1"/>
  <c r="AL58" i="1"/>
  <c r="AK58" i="1"/>
  <c r="AK60" i="1" s="1"/>
  <c r="AJ58" i="1"/>
  <c r="AI58" i="1"/>
  <c r="AH58" i="1"/>
  <c r="AG58" i="1"/>
  <c r="AF58" i="1"/>
  <c r="AE58" i="1"/>
  <c r="AE59" i="1" s="1"/>
  <c r="AD58" i="1"/>
  <c r="AC58" i="1"/>
  <c r="AC59" i="1" s="1"/>
  <c r="AB58" i="1"/>
  <c r="AA58" i="1"/>
  <c r="AA59" i="1" s="1"/>
  <c r="Z58" i="1"/>
  <c r="Y58" i="1"/>
  <c r="Y59" i="1" s="1"/>
  <c r="X58" i="1"/>
  <c r="W58" i="1"/>
  <c r="W59" i="1" s="1"/>
  <c r="V58" i="1"/>
  <c r="U58" i="1"/>
  <c r="U59" i="1" s="1"/>
  <c r="T58" i="1"/>
  <c r="S58" i="1"/>
  <c r="S59" i="1" s="1"/>
  <c r="R58" i="1"/>
  <c r="Q58" i="1"/>
  <c r="Q59" i="1" s="1"/>
  <c r="P58" i="1"/>
  <c r="O58" i="1"/>
  <c r="O59" i="1" s="1"/>
  <c r="N58" i="1"/>
  <c r="M58" i="1"/>
  <c r="G58" i="1"/>
  <c r="F58" i="1"/>
  <c r="F59" i="1" s="1"/>
  <c r="E58" i="1"/>
  <c r="D58" i="1"/>
  <c r="D59" i="1" s="1"/>
  <c r="C58" i="1"/>
  <c r="B58" i="1"/>
  <c r="B60" i="1" s="1"/>
  <c r="AS52" i="1"/>
  <c r="AR52" i="1"/>
  <c r="AR53" i="1" s="1"/>
  <c r="AQ52" i="1"/>
  <c r="AP52" i="1"/>
  <c r="AP53" i="1" s="1"/>
  <c r="AO52" i="1"/>
  <c r="AN52" i="1"/>
  <c r="AN53" i="1" s="1"/>
  <c r="AM52" i="1"/>
  <c r="AL52" i="1"/>
  <c r="AL53" i="1" s="1"/>
  <c r="AK52" i="1"/>
  <c r="AJ52" i="1"/>
  <c r="AJ53" i="1" s="1"/>
  <c r="AI52" i="1"/>
  <c r="AH52" i="1"/>
  <c r="AH53" i="1" s="1"/>
  <c r="AG52" i="1"/>
  <c r="AF52" i="1"/>
  <c r="AF53" i="1" s="1"/>
  <c r="AE52" i="1"/>
  <c r="AD52" i="1"/>
  <c r="AD53" i="1" s="1"/>
  <c r="AC52" i="1"/>
  <c r="AB52" i="1"/>
  <c r="AB53" i="1" s="1"/>
  <c r="AA52" i="1"/>
  <c r="Z52" i="1"/>
  <c r="Z53" i="1" s="1"/>
  <c r="Y52" i="1"/>
  <c r="X52" i="1"/>
  <c r="X53" i="1" s="1"/>
  <c r="W52" i="1"/>
  <c r="V52" i="1"/>
  <c r="V53" i="1" s="1"/>
  <c r="U52" i="1"/>
  <c r="T52" i="1"/>
  <c r="T53" i="1" s="1"/>
  <c r="S52" i="1"/>
  <c r="R52" i="1"/>
  <c r="R53" i="1" s="1"/>
  <c r="Q52" i="1"/>
  <c r="P52" i="1"/>
  <c r="P53" i="1" s="1"/>
  <c r="O52" i="1"/>
  <c r="N52" i="1"/>
  <c r="N53" i="1" s="1"/>
  <c r="M52" i="1"/>
  <c r="G52" i="1"/>
  <c r="G53" i="1" s="1"/>
  <c r="F52" i="1"/>
  <c r="E52" i="1"/>
  <c r="E53" i="1" s="1"/>
  <c r="D52" i="1"/>
  <c r="C52" i="1"/>
  <c r="C53" i="1" s="1"/>
  <c r="B52" i="1"/>
  <c r="AS41" i="1"/>
  <c r="AS42" i="1" s="1"/>
  <c r="AR41" i="1"/>
  <c r="AQ41" i="1"/>
  <c r="AQ42" i="1" s="1"/>
  <c r="AP41" i="1"/>
  <c r="AO41" i="1"/>
  <c r="AO42" i="1" s="1"/>
  <c r="AN41" i="1"/>
  <c r="AM41" i="1"/>
  <c r="AM42" i="1" s="1"/>
  <c r="AL41" i="1"/>
  <c r="AK41" i="1"/>
  <c r="AK42" i="1" s="1"/>
  <c r="AJ41" i="1"/>
  <c r="AI41" i="1"/>
  <c r="AI42" i="1" s="1"/>
  <c r="AH41" i="1"/>
  <c r="AG41" i="1"/>
  <c r="AG42" i="1" s="1"/>
  <c r="AF41" i="1"/>
  <c r="AE41" i="1"/>
  <c r="AE42" i="1" s="1"/>
  <c r="AD41" i="1"/>
  <c r="AC41" i="1"/>
  <c r="AC42" i="1" s="1"/>
  <c r="AB41" i="1"/>
  <c r="AA41" i="1"/>
  <c r="AA42" i="1" s="1"/>
  <c r="Z41" i="1"/>
  <c r="Y41" i="1"/>
  <c r="Y42" i="1" s="1"/>
  <c r="X41" i="1"/>
  <c r="W41" i="1"/>
  <c r="W42" i="1" s="1"/>
  <c r="V41" i="1"/>
  <c r="U41" i="1"/>
  <c r="U42" i="1" s="1"/>
  <c r="T41" i="1"/>
  <c r="S41" i="1"/>
  <c r="S42" i="1" s="1"/>
  <c r="R41" i="1"/>
  <c r="Q41" i="1"/>
  <c r="Q42" i="1" s="1"/>
  <c r="P41" i="1"/>
  <c r="O41" i="1"/>
  <c r="O42" i="1" s="1"/>
  <c r="N41" i="1"/>
  <c r="M41" i="1"/>
  <c r="M43" i="1" s="1"/>
  <c r="G41" i="1"/>
  <c r="F41" i="1"/>
  <c r="F42" i="1" s="1"/>
  <c r="E41" i="1"/>
  <c r="D41" i="1"/>
  <c r="D42" i="1" s="1"/>
  <c r="C41" i="1"/>
  <c r="B41" i="1"/>
  <c r="AS35" i="1"/>
  <c r="AR35" i="1"/>
  <c r="AR36" i="1" s="1"/>
  <c r="AQ35" i="1"/>
  <c r="AP35" i="1"/>
  <c r="AP36" i="1" s="1"/>
  <c r="AO35" i="1"/>
  <c r="AN35" i="1"/>
  <c r="AN36" i="1" s="1"/>
  <c r="AM35" i="1"/>
  <c r="AL35" i="1"/>
  <c r="AL36" i="1" s="1"/>
  <c r="AK35" i="1"/>
  <c r="AJ35" i="1"/>
  <c r="AJ36" i="1" s="1"/>
  <c r="AI35" i="1"/>
  <c r="AH35" i="1"/>
  <c r="AH36" i="1" s="1"/>
  <c r="AG35" i="1"/>
  <c r="AF35" i="1"/>
  <c r="AF36" i="1" s="1"/>
  <c r="AE35" i="1"/>
  <c r="AD35" i="1"/>
  <c r="AD36" i="1" s="1"/>
  <c r="AC35" i="1"/>
  <c r="AB35" i="1"/>
  <c r="AB36" i="1" s="1"/>
  <c r="AA35" i="1"/>
  <c r="Z35" i="1"/>
  <c r="Z36" i="1" s="1"/>
  <c r="Y35" i="1"/>
  <c r="X35" i="1"/>
  <c r="X36" i="1" s="1"/>
  <c r="W35" i="1"/>
  <c r="V35" i="1"/>
  <c r="V36" i="1" s="1"/>
  <c r="U35" i="1"/>
  <c r="T35" i="1"/>
  <c r="T36" i="1" s="1"/>
  <c r="S35" i="1"/>
  <c r="R35" i="1"/>
  <c r="R36" i="1" s="1"/>
  <c r="Q35" i="1"/>
  <c r="P35" i="1"/>
  <c r="P36" i="1" s="1"/>
  <c r="O35" i="1"/>
  <c r="N35" i="1"/>
  <c r="N36" i="1" s="1"/>
  <c r="M35" i="1"/>
  <c r="G35" i="1"/>
  <c r="G36" i="1" s="1"/>
  <c r="F35" i="1"/>
  <c r="E35" i="1"/>
  <c r="E36" i="1" s="1"/>
  <c r="D35" i="1"/>
  <c r="C35" i="1"/>
  <c r="C36" i="1" s="1"/>
  <c r="B35" i="1"/>
  <c r="AS29" i="1"/>
  <c r="AS30" i="1" s="1"/>
  <c r="AR29" i="1"/>
  <c r="AQ29" i="1"/>
  <c r="AQ30" i="1" s="1"/>
  <c r="AP29" i="1"/>
  <c r="AO29" i="1"/>
  <c r="AO30" i="1" s="1"/>
  <c r="AN29" i="1"/>
  <c r="AM29" i="1"/>
  <c r="AM30" i="1" s="1"/>
  <c r="AL29" i="1"/>
  <c r="AK29" i="1"/>
  <c r="AK30" i="1" s="1"/>
  <c r="AJ29" i="1"/>
  <c r="AI29" i="1"/>
  <c r="AI30" i="1" s="1"/>
  <c r="AH29" i="1"/>
  <c r="AG29" i="1"/>
  <c r="AG30" i="1" s="1"/>
  <c r="AF29" i="1"/>
  <c r="AE29" i="1"/>
  <c r="AE30" i="1" s="1"/>
  <c r="AD29" i="1"/>
  <c r="AC29" i="1"/>
  <c r="AC30" i="1" s="1"/>
  <c r="AB29" i="1"/>
  <c r="AA29" i="1"/>
  <c r="AA30" i="1" s="1"/>
  <c r="Z29" i="1"/>
  <c r="Y29" i="1"/>
  <c r="Y30" i="1" s="1"/>
  <c r="X29" i="1"/>
  <c r="W29" i="1"/>
  <c r="W30" i="1" s="1"/>
  <c r="V29" i="1"/>
  <c r="U29" i="1"/>
  <c r="U30" i="1" s="1"/>
  <c r="T29" i="1"/>
  <c r="S29" i="1"/>
  <c r="S30" i="1" s="1"/>
  <c r="R29" i="1"/>
  <c r="Q29" i="1"/>
  <c r="Q30" i="1" s="1"/>
  <c r="P29" i="1"/>
  <c r="O29" i="1"/>
  <c r="O30" i="1" s="1"/>
  <c r="N29" i="1"/>
  <c r="M29" i="1"/>
  <c r="G29" i="1"/>
  <c r="F29" i="1"/>
  <c r="F30" i="1" s="1"/>
  <c r="E29" i="1"/>
  <c r="D29" i="1"/>
  <c r="D30" i="1" s="1"/>
  <c r="C29" i="1"/>
  <c r="B29" i="1"/>
  <c r="B31" i="1" s="1"/>
  <c r="AS18" i="1"/>
  <c r="AR18" i="1"/>
  <c r="AR19" i="1" s="1"/>
  <c r="AQ18" i="1"/>
  <c r="AP18" i="1"/>
  <c r="AP19" i="1" s="1"/>
  <c r="AO18" i="1"/>
  <c r="AN18" i="1"/>
  <c r="AN19" i="1" s="1"/>
  <c r="AM18" i="1"/>
  <c r="AL18" i="1"/>
  <c r="AL19" i="1" s="1"/>
  <c r="AK18" i="1"/>
  <c r="AJ18" i="1"/>
  <c r="AJ19" i="1" s="1"/>
  <c r="AI18" i="1"/>
  <c r="AH18" i="1"/>
  <c r="AH19" i="1" s="1"/>
  <c r="AG18" i="1"/>
  <c r="AF18" i="1"/>
  <c r="AF19" i="1" s="1"/>
  <c r="AE18" i="1"/>
  <c r="AD18" i="1"/>
  <c r="AD19" i="1" s="1"/>
  <c r="AC18" i="1"/>
  <c r="AB18" i="1"/>
  <c r="AB19" i="1" s="1"/>
  <c r="AA18" i="1"/>
  <c r="Z18" i="1"/>
  <c r="Z19" i="1" s="1"/>
  <c r="Y18" i="1"/>
  <c r="X18" i="1"/>
  <c r="X19" i="1" s="1"/>
  <c r="W18" i="1"/>
  <c r="V18" i="1"/>
  <c r="V19" i="1" s="1"/>
  <c r="U18" i="1"/>
  <c r="T18" i="1"/>
  <c r="T19" i="1" s="1"/>
  <c r="S18" i="1"/>
  <c r="R18" i="1"/>
  <c r="R20" i="1" s="1"/>
  <c r="Q18" i="1"/>
  <c r="P18" i="1"/>
  <c r="P19" i="1" s="1"/>
  <c r="O18" i="1"/>
  <c r="N18" i="1"/>
  <c r="N20" i="1" s="1"/>
  <c r="M18" i="1"/>
  <c r="G18" i="1"/>
  <c r="G19" i="1" s="1"/>
  <c r="F18" i="1"/>
  <c r="E18" i="1"/>
  <c r="E20" i="1" s="1"/>
  <c r="D18" i="1"/>
  <c r="C18" i="1"/>
  <c r="C19" i="1" s="1"/>
  <c r="B18" i="1"/>
  <c r="AS12" i="1"/>
  <c r="AS14" i="1" s="1"/>
  <c r="AR12" i="1"/>
  <c r="AQ12" i="1"/>
  <c r="AQ13" i="1" s="1"/>
  <c r="AP12" i="1"/>
  <c r="AO12" i="1"/>
  <c r="AO14" i="1" s="1"/>
  <c r="AN12" i="1"/>
  <c r="AM12" i="1"/>
  <c r="AM13" i="1" s="1"/>
  <c r="AL12" i="1"/>
  <c r="AK12" i="1"/>
  <c r="AK14" i="1" s="1"/>
  <c r="AJ12" i="1"/>
  <c r="AI12" i="1"/>
  <c r="AI13" i="1" s="1"/>
  <c r="AH12" i="1"/>
  <c r="AG12" i="1"/>
  <c r="AG14" i="1" s="1"/>
  <c r="AF12" i="1"/>
  <c r="AE12" i="1"/>
  <c r="AE13" i="1" s="1"/>
  <c r="AD12" i="1"/>
  <c r="AC12" i="1"/>
  <c r="AC14" i="1" s="1"/>
  <c r="AB12" i="1"/>
  <c r="AA12" i="1"/>
  <c r="AA13" i="1" s="1"/>
  <c r="Z12" i="1"/>
  <c r="Y12" i="1"/>
  <c r="Y14" i="1" s="1"/>
  <c r="X12" i="1"/>
  <c r="W12" i="1"/>
  <c r="W13" i="1" s="1"/>
  <c r="V12" i="1"/>
  <c r="U12" i="1"/>
  <c r="U14" i="1" s="1"/>
  <c r="T12" i="1"/>
  <c r="S12" i="1"/>
  <c r="S13" i="1" s="1"/>
  <c r="R12" i="1"/>
  <c r="Q12" i="1"/>
  <c r="Q14" i="1" s="1"/>
  <c r="P12" i="1"/>
  <c r="O12" i="1"/>
  <c r="O13" i="1" s="1"/>
  <c r="N12" i="1"/>
  <c r="M12" i="1"/>
  <c r="M13" i="1" s="1"/>
  <c r="G12" i="1"/>
  <c r="F12" i="1"/>
  <c r="F13" i="1" s="1"/>
  <c r="E12" i="1"/>
  <c r="D12" i="1"/>
  <c r="D14" i="1" s="1"/>
  <c r="C12" i="1"/>
  <c r="B12" i="1"/>
  <c r="B14" i="1" s="1"/>
  <c r="AS6" i="1"/>
  <c r="AR6" i="1"/>
  <c r="AR8" i="1" s="1"/>
  <c r="AQ6" i="1"/>
  <c r="AP6" i="1"/>
  <c r="AP7" i="1" s="1"/>
  <c r="AO6" i="1"/>
  <c r="AN6" i="1"/>
  <c r="AN8" i="1" s="1"/>
  <c r="AM6" i="1"/>
  <c r="AL6" i="1"/>
  <c r="AL7" i="1" s="1"/>
  <c r="AK6" i="1"/>
  <c r="AJ6" i="1"/>
  <c r="AJ8" i="1" s="1"/>
  <c r="AI6" i="1"/>
  <c r="AH6" i="1"/>
  <c r="AH7" i="1" s="1"/>
  <c r="AG6" i="1"/>
  <c r="AF6" i="1"/>
  <c r="AF8" i="1" s="1"/>
  <c r="AE6" i="1"/>
  <c r="AD6" i="1"/>
  <c r="AD7" i="1" s="1"/>
  <c r="AC6" i="1"/>
  <c r="AB6" i="1"/>
  <c r="AB8" i="1" s="1"/>
  <c r="AA6" i="1"/>
  <c r="Z6" i="1"/>
  <c r="Z7" i="1" s="1"/>
  <c r="Y6" i="1"/>
  <c r="X6" i="1"/>
  <c r="X8" i="1" s="1"/>
  <c r="W6" i="1"/>
  <c r="V6" i="1"/>
  <c r="V7" i="1" s="1"/>
  <c r="U6" i="1"/>
  <c r="T6" i="1"/>
  <c r="T8" i="1" s="1"/>
  <c r="S6" i="1"/>
  <c r="R6" i="1"/>
  <c r="R7" i="1" s="1"/>
  <c r="Q6" i="1"/>
  <c r="P6" i="1"/>
  <c r="P8" i="1" s="1"/>
  <c r="O6" i="1"/>
  <c r="N6" i="1"/>
  <c r="N7" i="1" s="1"/>
  <c r="M6" i="1"/>
  <c r="G6" i="1"/>
  <c r="G8" i="1" s="1"/>
  <c r="F6" i="1"/>
  <c r="E6" i="1"/>
  <c r="E7" i="1" s="1"/>
  <c r="D6" i="1"/>
  <c r="C6" i="1"/>
  <c r="C8" i="1" s="1"/>
  <c r="B6" i="1"/>
  <c r="AS95" i="2"/>
  <c r="AR95" i="2"/>
  <c r="AQ95" i="2"/>
  <c r="AP95" i="2"/>
  <c r="AO95" i="2"/>
  <c r="AN95" i="2"/>
  <c r="AM95" i="2"/>
  <c r="AL95" i="2"/>
  <c r="AK95" i="2"/>
  <c r="AJ95" i="2"/>
  <c r="AI95" i="2"/>
  <c r="AH95" i="2"/>
  <c r="AG95" i="2"/>
  <c r="AF95" i="2"/>
  <c r="AE95" i="2"/>
  <c r="AD95" i="2"/>
  <c r="AC95" i="2"/>
  <c r="AB95" i="2"/>
  <c r="AA95" i="2"/>
  <c r="Z95" i="2"/>
  <c r="Y95" i="2"/>
  <c r="X95" i="2"/>
  <c r="W95" i="2"/>
  <c r="V95" i="2"/>
  <c r="U95" i="2"/>
  <c r="T95" i="2"/>
  <c r="S95" i="2"/>
  <c r="R95" i="2"/>
  <c r="Q95" i="2"/>
  <c r="P95" i="2"/>
  <c r="O95" i="2"/>
  <c r="N95" i="2"/>
  <c r="M95" i="2"/>
  <c r="G95" i="2"/>
  <c r="F95" i="2"/>
  <c r="E95" i="2"/>
  <c r="D95" i="2"/>
  <c r="C95" i="2"/>
  <c r="B95" i="2"/>
  <c r="AS89" i="2"/>
  <c r="AR89" i="2"/>
  <c r="AQ89" i="2"/>
  <c r="AP89" i="2"/>
  <c r="AO89" i="2"/>
  <c r="AN89" i="2"/>
  <c r="AM89" i="2"/>
  <c r="AL89" i="2"/>
  <c r="AK89" i="2"/>
  <c r="AJ89" i="2"/>
  <c r="AI89" i="2"/>
  <c r="AH89" i="2"/>
  <c r="AG89" i="2"/>
  <c r="AF89" i="2"/>
  <c r="AE89" i="2"/>
  <c r="AD89" i="2"/>
  <c r="AC89" i="2"/>
  <c r="AB89" i="2"/>
  <c r="AA89" i="2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M89" i="2"/>
  <c r="G89" i="2"/>
  <c r="F89" i="2"/>
  <c r="E89" i="2"/>
  <c r="D89" i="2"/>
  <c r="C89" i="2"/>
  <c r="B89" i="2"/>
  <c r="AS83" i="2"/>
  <c r="AR83" i="2"/>
  <c r="AQ83" i="2"/>
  <c r="AP83" i="2"/>
  <c r="AO83" i="2"/>
  <c r="AN83" i="2"/>
  <c r="AM83" i="2"/>
  <c r="AL83" i="2"/>
  <c r="AK83" i="2"/>
  <c r="AJ83" i="2"/>
  <c r="AI83" i="2"/>
  <c r="AH83" i="2"/>
  <c r="AG83" i="2"/>
  <c r="AF83" i="2"/>
  <c r="AE83" i="2"/>
  <c r="AD83" i="2"/>
  <c r="AC83" i="2"/>
  <c r="AB83" i="2"/>
  <c r="AA83" i="2"/>
  <c r="Z83" i="2"/>
  <c r="Y83" i="2"/>
  <c r="X83" i="2"/>
  <c r="W83" i="2"/>
  <c r="V83" i="2"/>
  <c r="U83" i="2"/>
  <c r="T83" i="2"/>
  <c r="S83" i="2"/>
  <c r="R83" i="2"/>
  <c r="Q83" i="2"/>
  <c r="P83" i="2"/>
  <c r="O83" i="2"/>
  <c r="N83" i="2"/>
  <c r="M83" i="2"/>
  <c r="G83" i="2"/>
  <c r="F83" i="2"/>
  <c r="E83" i="2"/>
  <c r="D83" i="2"/>
  <c r="C83" i="2"/>
  <c r="B83" i="2"/>
  <c r="AS69" i="2"/>
  <c r="AR69" i="2"/>
  <c r="AQ69" i="2"/>
  <c r="AP69" i="2"/>
  <c r="AO69" i="2"/>
  <c r="AN69" i="2"/>
  <c r="AM69" i="2"/>
  <c r="AL69" i="2"/>
  <c r="AK69" i="2"/>
  <c r="AJ69" i="2"/>
  <c r="AI69" i="2"/>
  <c r="AH69" i="2"/>
  <c r="AG69" i="2"/>
  <c r="AF69" i="2"/>
  <c r="AE69" i="2"/>
  <c r="AD69" i="2"/>
  <c r="AC69" i="2"/>
  <c r="AB69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G69" i="2"/>
  <c r="F69" i="2"/>
  <c r="E69" i="2"/>
  <c r="D69" i="2"/>
  <c r="C69" i="2"/>
  <c r="B69" i="2"/>
  <c r="AS63" i="2"/>
  <c r="AR63" i="2"/>
  <c r="AQ63" i="2"/>
  <c r="AP63" i="2"/>
  <c r="AO63" i="2"/>
  <c r="AN63" i="2"/>
  <c r="AM63" i="2"/>
  <c r="AL63" i="2"/>
  <c r="AK63" i="2"/>
  <c r="AJ63" i="2"/>
  <c r="AI63" i="2"/>
  <c r="AH63" i="2"/>
  <c r="AG63" i="2"/>
  <c r="AF63" i="2"/>
  <c r="AE63" i="2"/>
  <c r="AE65" i="2" s="1"/>
  <c r="AD63" i="2"/>
  <c r="AC63" i="2"/>
  <c r="AC65" i="2" s="1"/>
  <c r="AB63" i="2"/>
  <c r="AA63" i="2"/>
  <c r="AA65" i="2" s="1"/>
  <c r="Z63" i="2"/>
  <c r="Y63" i="2"/>
  <c r="Y65" i="2" s="1"/>
  <c r="X63" i="2"/>
  <c r="W63" i="2"/>
  <c r="W65" i="2" s="1"/>
  <c r="V63" i="2"/>
  <c r="U63" i="2"/>
  <c r="U65" i="2" s="1"/>
  <c r="T63" i="2"/>
  <c r="S63" i="2"/>
  <c r="S65" i="2" s="1"/>
  <c r="R63" i="2"/>
  <c r="Q63" i="2"/>
  <c r="Q65" i="2" s="1"/>
  <c r="P63" i="2"/>
  <c r="O63" i="2"/>
  <c r="O65" i="2" s="1"/>
  <c r="N63" i="2"/>
  <c r="M63" i="2"/>
  <c r="M65" i="2" s="1"/>
  <c r="G63" i="2"/>
  <c r="F63" i="2"/>
  <c r="F65" i="2" s="1"/>
  <c r="E63" i="2"/>
  <c r="D63" i="2"/>
  <c r="D65" i="2" s="1"/>
  <c r="C63" i="2"/>
  <c r="B63" i="2"/>
  <c r="AS57" i="2"/>
  <c r="AR57" i="2"/>
  <c r="AR59" i="2" s="1"/>
  <c r="AQ57" i="2"/>
  <c r="AP57" i="2"/>
  <c r="AP59" i="2" s="1"/>
  <c r="AO57" i="2"/>
  <c r="AN57" i="2"/>
  <c r="AN59" i="2" s="1"/>
  <c r="AM57" i="2"/>
  <c r="AL57" i="2"/>
  <c r="AL59" i="2" s="1"/>
  <c r="AK57" i="2"/>
  <c r="AJ57" i="2"/>
  <c r="AJ59" i="2" s="1"/>
  <c r="AI57" i="2"/>
  <c r="AH57" i="2"/>
  <c r="AH59" i="2" s="1"/>
  <c r="AG57" i="2"/>
  <c r="AF57" i="2"/>
  <c r="AF59" i="2" s="1"/>
  <c r="AE57" i="2"/>
  <c r="AD57" i="2"/>
  <c r="AD59" i="2" s="1"/>
  <c r="AC57" i="2"/>
  <c r="AB57" i="2"/>
  <c r="AB59" i="2" s="1"/>
  <c r="AA57" i="2"/>
  <c r="Z57" i="2"/>
  <c r="Z59" i="2" s="1"/>
  <c r="Y57" i="2"/>
  <c r="X57" i="2"/>
  <c r="X59" i="2" s="1"/>
  <c r="W57" i="2"/>
  <c r="V57" i="2"/>
  <c r="V59" i="2" s="1"/>
  <c r="U57" i="2"/>
  <c r="T57" i="2"/>
  <c r="T59" i="2" s="1"/>
  <c r="S57" i="2"/>
  <c r="R57" i="2"/>
  <c r="R59" i="2" s="1"/>
  <c r="Q57" i="2"/>
  <c r="P57" i="2"/>
  <c r="P59" i="2" s="1"/>
  <c r="O57" i="2"/>
  <c r="N57" i="2"/>
  <c r="N59" i="2" s="1"/>
  <c r="M57" i="2"/>
  <c r="G57" i="2"/>
  <c r="G59" i="2" s="1"/>
  <c r="F57" i="2"/>
  <c r="E57" i="2"/>
  <c r="E59" i="2" s="1"/>
  <c r="D57" i="2"/>
  <c r="C57" i="2"/>
  <c r="C59" i="2" s="1"/>
  <c r="B57" i="2"/>
  <c r="AS43" i="2"/>
  <c r="AS45" i="2" s="1"/>
  <c r="AR43" i="2"/>
  <c r="AQ43" i="2"/>
  <c r="AQ45" i="2" s="1"/>
  <c r="AP43" i="2"/>
  <c r="AO43" i="2"/>
  <c r="AO45" i="2" s="1"/>
  <c r="AN43" i="2"/>
  <c r="AM43" i="2"/>
  <c r="AM45" i="2" s="1"/>
  <c r="AL43" i="2"/>
  <c r="AK43" i="2"/>
  <c r="AK45" i="2" s="1"/>
  <c r="AJ43" i="2"/>
  <c r="AI43" i="2"/>
  <c r="AI45" i="2" s="1"/>
  <c r="AH43" i="2"/>
  <c r="AG43" i="2"/>
  <c r="AG45" i="2" s="1"/>
  <c r="AF43" i="2"/>
  <c r="AE43" i="2"/>
  <c r="AE45" i="2" s="1"/>
  <c r="AD43" i="2"/>
  <c r="AC43" i="2"/>
  <c r="AC45" i="2" s="1"/>
  <c r="AB43" i="2"/>
  <c r="AA43" i="2"/>
  <c r="AA45" i="2" s="1"/>
  <c r="Z43" i="2"/>
  <c r="Y43" i="2"/>
  <c r="Y45" i="2" s="1"/>
  <c r="X43" i="2"/>
  <c r="W43" i="2"/>
  <c r="W45" i="2" s="1"/>
  <c r="V43" i="2"/>
  <c r="V45" i="2" s="1"/>
  <c r="U43" i="2"/>
  <c r="U45" i="2" s="1"/>
  <c r="T43" i="2"/>
  <c r="S43" i="2"/>
  <c r="S45" i="2" s="1"/>
  <c r="R43" i="2"/>
  <c r="R45" i="2" s="1"/>
  <c r="Q43" i="2"/>
  <c r="Q45" i="2" s="1"/>
  <c r="P43" i="2"/>
  <c r="O43" i="2"/>
  <c r="O45" i="2" s="1"/>
  <c r="N43" i="2"/>
  <c r="N45" i="2" s="1"/>
  <c r="M43" i="2"/>
  <c r="M45" i="2" s="1"/>
  <c r="G43" i="2"/>
  <c r="F43" i="2"/>
  <c r="F45" i="2" s="1"/>
  <c r="E43" i="2"/>
  <c r="E45" i="2" s="1"/>
  <c r="D43" i="2"/>
  <c r="D45" i="2" s="1"/>
  <c r="C43" i="2"/>
  <c r="B43" i="2"/>
  <c r="B44" i="2" s="1"/>
  <c r="AS37" i="2"/>
  <c r="AS39" i="2" s="1"/>
  <c r="AR37" i="2"/>
  <c r="AR39" i="2" s="1"/>
  <c r="AQ37" i="2"/>
  <c r="AP37" i="2"/>
  <c r="AP39" i="2" s="1"/>
  <c r="AO37" i="2"/>
  <c r="AO39" i="2" s="1"/>
  <c r="AN37" i="2"/>
  <c r="AN39" i="2" s="1"/>
  <c r="AM37" i="2"/>
  <c r="AL37" i="2"/>
  <c r="AL39" i="2" s="1"/>
  <c r="AK37" i="2"/>
  <c r="AK39" i="2" s="1"/>
  <c r="AJ37" i="2"/>
  <c r="AJ39" i="2" s="1"/>
  <c r="AI37" i="2"/>
  <c r="AH37" i="2"/>
  <c r="AH39" i="2" s="1"/>
  <c r="AG37" i="2"/>
  <c r="AG39" i="2" s="1"/>
  <c r="AF37" i="2"/>
  <c r="AF39" i="2" s="1"/>
  <c r="AE37" i="2"/>
  <c r="AD37" i="2"/>
  <c r="AD39" i="2" s="1"/>
  <c r="AC37" i="2"/>
  <c r="AC39" i="2" s="1"/>
  <c r="AB37" i="2"/>
  <c r="AB39" i="2" s="1"/>
  <c r="AA37" i="2"/>
  <c r="Z37" i="2"/>
  <c r="Z39" i="2" s="1"/>
  <c r="Y37" i="2"/>
  <c r="Y39" i="2" s="1"/>
  <c r="X37" i="2"/>
  <c r="X39" i="2" s="1"/>
  <c r="W37" i="2"/>
  <c r="V37" i="2"/>
  <c r="V39" i="2" s="1"/>
  <c r="U37" i="2"/>
  <c r="U39" i="2" s="1"/>
  <c r="T37" i="2"/>
  <c r="T39" i="2" s="1"/>
  <c r="S37" i="2"/>
  <c r="R37" i="2"/>
  <c r="R39" i="2" s="1"/>
  <c r="Q37" i="2"/>
  <c r="Q39" i="2" s="1"/>
  <c r="P37" i="2"/>
  <c r="P39" i="2" s="1"/>
  <c r="O37" i="2"/>
  <c r="N37" i="2"/>
  <c r="N39" i="2" s="1"/>
  <c r="M37" i="2"/>
  <c r="M39" i="2" s="1"/>
  <c r="G37" i="2"/>
  <c r="G39" i="2" s="1"/>
  <c r="F37" i="2"/>
  <c r="E37" i="2"/>
  <c r="E39" i="2" s="1"/>
  <c r="D37" i="2"/>
  <c r="D39" i="2" s="1"/>
  <c r="C37" i="2"/>
  <c r="C39" i="2" s="1"/>
  <c r="B37" i="2"/>
  <c r="AS31" i="2"/>
  <c r="AS33" i="2" s="1"/>
  <c r="AR31" i="2"/>
  <c r="AR33" i="2" s="1"/>
  <c r="AQ31" i="2"/>
  <c r="AQ33" i="2" s="1"/>
  <c r="AP31" i="2"/>
  <c r="AO31" i="2"/>
  <c r="AO33" i="2" s="1"/>
  <c r="AN31" i="2"/>
  <c r="AN33" i="2" s="1"/>
  <c r="AM31" i="2"/>
  <c r="AM33" i="2" s="1"/>
  <c r="AL31" i="2"/>
  <c r="AK31" i="2"/>
  <c r="AK33" i="2" s="1"/>
  <c r="AJ31" i="2"/>
  <c r="AJ33" i="2" s="1"/>
  <c r="AI31" i="2"/>
  <c r="AI33" i="2" s="1"/>
  <c r="AH31" i="2"/>
  <c r="AG31" i="2"/>
  <c r="AG33" i="2" s="1"/>
  <c r="AF31" i="2"/>
  <c r="AF33" i="2" s="1"/>
  <c r="AE31" i="2"/>
  <c r="AE33" i="2" s="1"/>
  <c r="AD31" i="2"/>
  <c r="AC31" i="2"/>
  <c r="AC33" i="2" s="1"/>
  <c r="AB31" i="2"/>
  <c r="AB33" i="2" s="1"/>
  <c r="AA31" i="2"/>
  <c r="AA33" i="2" s="1"/>
  <c r="Z31" i="2"/>
  <c r="Y31" i="2"/>
  <c r="Y33" i="2" s="1"/>
  <c r="X31" i="2"/>
  <c r="X33" i="2" s="1"/>
  <c r="W31" i="2"/>
  <c r="W33" i="2" s="1"/>
  <c r="V31" i="2"/>
  <c r="U31" i="2"/>
  <c r="U33" i="2" s="1"/>
  <c r="T31" i="2"/>
  <c r="T33" i="2" s="1"/>
  <c r="S31" i="2"/>
  <c r="S33" i="2" s="1"/>
  <c r="R31" i="2"/>
  <c r="Q31" i="2"/>
  <c r="Q33" i="2" s="1"/>
  <c r="P31" i="2"/>
  <c r="P32" i="2" s="1"/>
  <c r="O31" i="2"/>
  <c r="O33" i="2" s="1"/>
  <c r="N31" i="2"/>
  <c r="M31" i="2"/>
  <c r="M33" i="2" s="1"/>
  <c r="G31" i="2"/>
  <c r="G32" i="2" s="1"/>
  <c r="F31" i="2"/>
  <c r="F33" i="2" s="1"/>
  <c r="E31" i="2"/>
  <c r="D31" i="2"/>
  <c r="D33" i="2" s="1"/>
  <c r="C31" i="2"/>
  <c r="C33" i="2" s="1"/>
  <c r="B31" i="2"/>
  <c r="AS17" i="2"/>
  <c r="AR17" i="2"/>
  <c r="AR19" i="2" s="1"/>
  <c r="AQ17" i="2"/>
  <c r="AQ18" i="2" s="1"/>
  <c r="AP17" i="2"/>
  <c r="AP19" i="2" s="1"/>
  <c r="AO17" i="2"/>
  <c r="AN17" i="2"/>
  <c r="AN19" i="2" s="1"/>
  <c r="AM17" i="2"/>
  <c r="AM19" i="2" s="1"/>
  <c r="AL17" i="2"/>
  <c r="AL19" i="2" s="1"/>
  <c r="AK17" i="2"/>
  <c r="AJ17" i="2"/>
  <c r="AJ19" i="2" s="1"/>
  <c r="AI17" i="2"/>
  <c r="AI18" i="2" s="1"/>
  <c r="AH17" i="2"/>
  <c r="AH19" i="2" s="1"/>
  <c r="AG17" i="2"/>
  <c r="AF17" i="2"/>
  <c r="AF19" i="2" s="1"/>
  <c r="AE17" i="2"/>
  <c r="AE19" i="2" s="1"/>
  <c r="AD17" i="2"/>
  <c r="AD19" i="2" s="1"/>
  <c r="AC17" i="2"/>
  <c r="AC19" i="2" s="1"/>
  <c r="AB17" i="2"/>
  <c r="AB19" i="2" s="1"/>
  <c r="AA17" i="2"/>
  <c r="AA19" i="2" s="1"/>
  <c r="Z17" i="2"/>
  <c r="Z19" i="2" s="1"/>
  <c r="Y17" i="2"/>
  <c r="Y19" i="2" s="1"/>
  <c r="X17" i="2"/>
  <c r="X19" i="2" s="1"/>
  <c r="W17" i="2"/>
  <c r="W18" i="2" s="1"/>
  <c r="V17" i="2"/>
  <c r="V19" i="2" s="1"/>
  <c r="U17" i="2"/>
  <c r="U19" i="2" s="1"/>
  <c r="T17" i="2"/>
  <c r="T19" i="2" s="1"/>
  <c r="S17" i="2"/>
  <c r="S19" i="2" s="1"/>
  <c r="R17" i="2"/>
  <c r="R19" i="2" s="1"/>
  <c r="Q17" i="2"/>
  <c r="Q19" i="2" s="1"/>
  <c r="P17" i="2"/>
  <c r="P19" i="2" s="1"/>
  <c r="O17" i="2"/>
  <c r="O19" i="2" s="1"/>
  <c r="N17" i="2"/>
  <c r="N19" i="2" s="1"/>
  <c r="M17" i="2"/>
  <c r="M19" i="2" s="1"/>
  <c r="G17" i="2"/>
  <c r="G19" i="2" s="1"/>
  <c r="F17" i="2"/>
  <c r="F19" i="2" s="1"/>
  <c r="E17" i="2"/>
  <c r="E19" i="2" s="1"/>
  <c r="D17" i="2"/>
  <c r="D19" i="2" s="1"/>
  <c r="C17" i="2"/>
  <c r="C19" i="2" s="1"/>
  <c r="B17" i="2"/>
  <c r="AS11" i="2"/>
  <c r="AS13" i="2" s="1"/>
  <c r="AR11" i="2"/>
  <c r="AR13" i="2" s="1"/>
  <c r="AQ11" i="2"/>
  <c r="AQ13" i="2" s="1"/>
  <c r="AP11" i="2"/>
  <c r="AP13" i="2" s="1"/>
  <c r="AO11" i="2"/>
  <c r="AO13" i="2" s="1"/>
  <c r="AN11" i="2"/>
  <c r="AN13" i="2" s="1"/>
  <c r="AM11" i="2"/>
  <c r="AM13" i="2" s="1"/>
  <c r="AL11" i="2"/>
  <c r="AL12" i="2" s="1"/>
  <c r="AK11" i="2"/>
  <c r="AK13" i="2" s="1"/>
  <c r="AJ11" i="2"/>
  <c r="AJ13" i="2" s="1"/>
  <c r="AI11" i="2"/>
  <c r="AI13" i="2" s="1"/>
  <c r="AH11" i="2"/>
  <c r="AH12" i="2" s="1"/>
  <c r="AG11" i="2"/>
  <c r="AG13" i="2" s="1"/>
  <c r="AF11" i="2"/>
  <c r="AF13" i="2" s="1"/>
  <c r="AE11" i="2"/>
  <c r="AE13" i="2" s="1"/>
  <c r="AD11" i="2"/>
  <c r="AD13" i="2" s="1"/>
  <c r="AC11" i="2"/>
  <c r="AC13" i="2" s="1"/>
  <c r="AB11" i="2"/>
  <c r="AB13" i="2" s="1"/>
  <c r="AA11" i="2"/>
  <c r="AA13" i="2" s="1"/>
  <c r="Z11" i="2"/>
  <c r="Z13" i="2" s="1"/>
  <c r="Y11" i="2"/>
  <c r="Y13" i="2" s="1"/>
  <c r="X11" i="2"/>
  <c r="X13" i="2" s="1"/>
  <c r="W11" i="2"/>
  <c r="W13" i="2" s="1"/>
  <c r="V11" i="2"/>
  <c r="V13" i="2" s="1"/>
  <c r="U11" i="2"/>
  <c r="U13" i="2" s="1"/>
  <c r="T11" i="2"/>
  <c r="T13" i="2" s="1"/>
  <c r="S11" i="2"/>
  <c r="S13" i="2" s="1"/>
  <c r="R11" i="2"/>
  <c r="R12" i="2" s="1"/>
  <c r="Q11" i="2"/>
  <c r="Q13" i="2" s="1"/>
  <c r="P11" i="2"/>
  <c r="P13" i="2" s="1"/>
  <c r="O11" i="2"/>
  <c r="O13" i="2" s="1"/>
  <c r="N11" i="2"/>
  <c r="N13" i="2" s="1"/>
  <c r="M11" i="2"/>
  <c r="M13" i="2" s="1"/>
  <c r="G11" i="2"/>
  <c r="G13" i="2" s="1"/>
  <c r="F11" i="2"/>
  <c r="F13" i="2" s="1"/>
  <c r="E11" i="2"/>
  <c r="E12" i="2" s="1"/>
  <c r="D11" i="2"/>
  <c r="D13" i="2" s="1"/>
  <c r="C11" i="2"/>
  <c r="C13" i="2" s="1"/>
  <c r="B11" i="2"/>
  <c r="AS5" i="2"/>
  <c r="AS7" i="2" s="1"/>
  <c r="AR5" i="2"/>
  <c r="AR7" i="2" s="1"/>
  <c r="AQ5" i="2"/>
  <c r="AQ7" i="2" s="1"/>
  <c r="AP5" i="2"/>
  <c r="AP7" i="2" s="1"/>
  <c r="AO5" i="2"/>
  <c r="AO7" i="2" s="1"/>
  <c r="AN5" i="2"/>
  <c r="AN7" i="2" s="1"/>
  <c r="AM5" i="2"/>
  <c r="AM7" i="2" s="1"/>
  <c r="AL5" i="2"/>
  <c r="AL7" i="2" s="1"/>
  <c r="AK5" i="2"/>
  <c r="AK6" i="2" s="1"/>
  <c r="AJ5" i="2"/>
  <c r="AJ7" i="2" s="1"/>
  <c r="AI5" i="2"/>
  <c r="AI7" i="2" s="1"/>
  <c r="AH5" i="2"/>
  <c r="AH7" i="2" s="1"/>
  <c r="AG5" i="2"/>
  <c r="AG7" i="2" s="1"/>
  <c r="AF5" i="2"/>
  <c r="AF7" i="2" s="1"/>
  <c r="AE5" i="2"/>
  <c r="AE7" i="2" s="1"/>
  <c r="AD5" i="2"/>
  <c r="AD7" i="2" s="1"/>
  <c r="AC5" i="2"/>
  <c r="AC7" i="2" s="1"/>
  <c r="AB5" i="2"/>
  <c r="AB7" i="2" s="1"/>
  <c r="AA5" i="2"/>
  <c r="AA7" i="2" s="1"/>
  <c r="Z5" i="2"/>
  <c r="Z7" i="2" s="1"/>
  <c r="Y5" i="2"/>
  <c r="Y7" i="2" s="1"/>
  <c r="X5" i="2"/>
  <c r="X7" i="2" s="1"/>
  <c r="W5" i="2"/>
  <c r="W7" i="2" s="1"/>
  <c r="V5" i="2"/>
  <c r="V7" i="2" s="1"/>
  <c r="U5" i="2"/>
  <c r="U6" i="2" s="1"/>
  <c r="T5" i="2"/>
  <c r="T7" i="2" s="1"/>
  <c r="S5" i="2"/>
  <c r="S7" i="2" s="1"/>
  <c r="R5" i="2"/>
  <c r="R7" i="2" s="1"/>
  <c r="Q5" i="2"/>
  <c r="Q7" i="2" s="1"/>
  <c r="P5" i="2"/>
  <c r="P7" i="2" s="1"/>
  <c r="O5" i="2"/>
  <c r="O7" i="2" s="1"/>
  <c r="N5" i="2"/>
  <c r="N7" i="2" s="1"/>
  <c r="M5" i="2"/>
  <c r="M6" i="2" s="1"/>
  <c r="G5" i="2"/>
  <c r="G7" i="2" s="1"/>
  <c r="F5" i="2"/>
  <c r="F7" i="2" s="1"/>
  <c r="E5" i="2"/>
  <c r="E7" i="2" s="1"/>
  <c r="D5" i="2"/>
  <c r="D6" i="2" s="1"/>
  <c r="C5" i="2"/>
  <c r="C7" i="2" s="1"/>
  <c r="B5" i="2"/>
  <c r="E8" i="1" l="1"/>
  <c r="AP8" i="1"/>
  <c r="AI14" i="1"/>
  <c r="R8" i="1"/>
  <c r="F14" i="1"/>
  <c r="AQ14" i="1"/>
  <c r="AM76" i="1"/>
  <c r="Z8" i="1"/>
  <c r="S14" i="1"/>
  <c r="G20" i="1"/>
  <c r="AF82" i="1"/>
  <c r="AH8" i="1"/>
  <c r="AA14" i="1"/>
  <c r="N65" i="1"/>
  <c r="Y88" i="1"/>
  <c r="W60" i="1"/>
  <c r="AN66" i="1"/>
  <c r="AG77" i="1"/>
  <c r="S89" i="1"/>
  <c r="G7" i="1"/>
  <c r="AB7" i="1"/>
  <c r="AR7" i="1"/>
  <c r="U13" i="1"/>
  <c r="AK13" i="1"/>
  <c r="N19" i="1"/>
  <c r="F60" i="1"/>
  <c r="AA60" i="1"/>
  <c r="N8" i="1"/>
  <c r="V8" i="1"/>
  <c r="AD8" i="1"/>
  <c r="AL8" i="1"/>
  <c r="O14" i="1"/>
  <c r="W14" i="1"/>
  <c r="AE14" i="1"/>
  <c r="AM14" i="1"/>
  <c r="C20" i="1"/>
  <c r="P20" i="1"/>
  <c r="AL54" i="1"/>
  <c r="O60" i="1"/>
  <c r="AE60" i="1"/>
  <c r="X66" i="1"/>
  <c r="Q77" i="1"/>
  <c r="E83" i="1"/>
  <c r="AP83" i="1"/>
  <c r="AI89" i="1"/>
  <c r="AD54" i="1"/>
  <c r="C66" i="1"/>
  <c r="Z83" i="1"/>
  <c r="T7" i="1"/>
  <c r="AJ7" i="1"/>
  <c r="AC13" i="1"/>
  <c r="AS13" i="1"/>
  <c r="AH54" i="1"/>
  <c r="C7" i="1"/>
  <c r="P7" i="1"/>
  <c r="X7" i="1"/>
  <c r="AF7" i="1"/>
  <c r="AN7" i="1"/>
  <c r="D13" i="1"/>
  <c r="Q13" i="1"/>
  <c r="Y13" i="1"/>
  <c r="AG13" i="1"/>
  <c r="AO13" i="1"/>
  <c r="E19" i="1"/>
  <c r="R19" i="1"/>
  <c r="AP54" i="1"/>
  <c r="S60" i="1"/>
  <c r="AK59" i="1"/>
  <c r="AD65" i="1"/>
  <c r="W76" i="1"/>
  <c r="P82" i="1"/>
  <c r="D88" i="1"/>
  <c r="AO88" i="1"/>
  <c r="D7" i="1"/>
  <c r="D8" i="1"/>
  <c r="AU6" i="1"/>
  <c r="AT6" i="1"/>
  <c r="AV6" i="1"/>
  <c r="M7" i="1"/>
  <c r="M8" i="1"/>
  <c r="Q7" i="1"/>
  <c r="Q8" i="1"/>
  <c r="U7" i="1"/>
  <c r="U8" i="1"/>
  <c r="Y7" i="1"/>
  <c r="Y8" i="1"/>
  <c r="AC7" i="1"/>
  <c r="AC8" i="1"/>
  <c r="AG7" i="1"/>
  <c r="AG8" i="1"/>
  <c r="AK7" i="1"/>
  <c r="AK8" i="1"/>
  <c r="AO7" i="1"/>
  <c r="AO8" i="1"/>
  <c r="AS7" i="1"/>
  <c r="AS8" i="1"/>
  <c r="E13" i="1"/>
  <c r="E14" i="1"/>
  <c r="N13" i="1"/>
  <c r="N14" i="1"/>
  <c r="R13" i="1"/>
  <c r="R14" i="1"/>
  <c r="V13" i="1"/>
  <c r="V14" i="1"/>
  <c r="Z13" i="1"/>
  <c r="Z14" i="1"/>
  <c r="AD13" i="1"/>
  <c r="AD14" i="1"/>
  <c r="AH13" i="1"/>
  <c r="AH14" i="1"/>
  <c r="AL13" i="1"/>
  <c r="AL14" i="1"/>
  <c r="AP13" i="1"/>
  <c r="AP14" i="1"/>
  <c r="I18" i="1"/>
  <c r="H18" i="1"/>
  <c r="J18" i="1"/>
  <c r="B19" i="1"/>
  <c r="B20" i="1"/>
  <c r="F19" i="1"/>
  <c r="F20" i="1"/>
  <c r="O19" i="1"/>
  <c r="O20" i="1"/>
  <c r="S19" i="1"/>
  <c r="S20" i="1"/>
  <c r="W19" i="1"/>
  <c r="W20" i="1"/>
  <c r="AA19" i="1"/>
  <c r="AA20" i="1"/>
  <c r="AE19" i="1"/>
  <c r="AE20" i="1"/>
  <c r="AI19" i="1"/>
  <c r="AI20" i="1"/>
  <c r="AM19" i="1"/>
  <c r="AM20" i="1"/>
  <c r="AQ19" i="1"/>
  <c r="AQ20" i="1"/>
  <c r="C30" i="1"/>
  <c r="C31" i="1"/>
  <c r="G30" i="1"/>
  <c r="G31" i="1"/>
  <c r="P30" i="1"/>
  <c r="P31" i="1"/>
  <c r="T30" i="1"/>
  <c r="T31" i="1"/>
  <c r="X30" i="1"/>
  <c r="X31" i="1"/>
  <c r="AB30" i="1"/>
  <c r="AB31" i="1"/>
  <c r="AF30" i="1"/>
  <c r="AF31" i="1"/>
  <c r="AJ30" i="1"/>
  <c r="AJ31" i="1"/>
  <c r="AN30" i="1"/>
  <c r="AN31" i="1"/>
  <c r="AR30" i="1"/>
  <c r="AR31" i="1"/>
  <c r="D36" i="1"/>
  <c r="D37" i="1"/>
  <c r="AU35" i="1"/>
  <c r="AT35" i="1"/>
  <c r="AV35" i="1"/>
  <c r="M36" i="1"/>
  <c r="M37" i="1"/>
  <c r="Q36" i="1"/>
  <c r="Q37" i="1"/>
  <c r="U36" i="1"/>
  <c r="U37" i="1"/>
  <c r="Y36" i="1"/>
  <c r="Y37" i="1"/>
  <c r="AC36" i="1"/>
  <c r="AC37" i="1"/>
  <c r="AG36" i="1"/>
  <c r="AG37" i="1"/>
  <c r="AK36" i="1"/>
  <c r="AK37" i="1"/>
  <c r="AO36" i="1"/>
  <c r="AO37" i="1"/>
  <c r="AS36" i="1"/>
  <c r="AS37" i="1"/>
  <c r="E42" i="1"/>
  <c r="E43" i="1"/>
  <c r="N42" i="1"/>
  <c r="N43" i="1"/>
  <c r="R42" i="1"/>
  <c r="R43" i="1"/>
  <c r="V42" i="1"/>
  <c r="V43" i="1"/>
  <c r="Z42" i="1"/>
  <c r="Z43" i="1"/>
  <c r="AD42" i="1"/>
  <c r="AD43" i="1"/>
  <c r="AH42" i="1"/>
  <c r="AH43" i="1"/>
  <c r="AL42" i="1"/>
  <c r="AL43" i="1"/>
  <c r="AP42" i="1"/>
  <c r="AP43" i="1"/>
  <c r="I52" i="1"/>
  <c r="H52" i="1"/>
  <c r="J52" i="1"/>
  <c r="B53" i="1"/>
  <c r="B54" i="1"/>
  <c r="F53" i="1"/>
  <c r="F54" i="1"/>
  <c r="O53" i="1"/>
  <c r="O54" i="1"/>
  <c r="S53" i="1"/>
  <c r="S54" i="1"/>
  <c r="W53" i="1"/>
  <c r="W54" i="1"/>
  <c r="AA53" i="1"/>
  <c r="AA54" i="1"/>
  <c r="AE53" i="1"/>
  <c r="AE54" i="1"/>
  <c r="AI53" i="1"/>
  <c r="AI54" i="1"/>
  <c r="AM53" i="1"/>
  <c r="AM54" i="1"/>
  <c r="AQ53" i="1"/>
  <c r="AQ54" i="1"/>
  <c r="C59" i="1"/>
  <c r="C60" i="1"/>
  <c r="G59" i="1"/>
  <c r="G60" i="1"/>
  <c r="P59" i="1"/>
  <c r="P60" i="1"/>
  <c r="T59" i="1"/>
  <c r="T60" i="1"/>
  <c r="X59" i="1"/>
  <c r="X60" i="1"/>
  <c r="AB59" i="1"/>
  <c r="AB60" i="1"/>
  <c r="AF60" i="1"/>
  <c r="AF59" i="1"/>
  <c r="AJ60" i="1"/>
  <c r="AJ59" i="1"/>
  <c r="AN60" i="1"/>
  <c r="AN59" i="1"/>
  <c r="AR60" i="1"/>
  <c r="AR59" i="1"/>
  <c r="D66" i="1"/>
  <c r="D65" i="1"/>
  <c r="AU64" i="1"/>
  <c r="AV64" i="1"/>
  <c r="AT64" i="1"/>
  <c r="M66" i="1"/>
  <c r="M65" i="1"/>
  <c r="Q66" i="1"/>
  <c r="Q65" i="1"/>
  <c r="U66" i="1"/>
  <c r="U65" i="1"/>
  <c r="Y66" i="1"/>
  <c r="Y65" i="1"/>
  <c r="AC66" i="1"/>
  <c r="AC65" i="1"/>
  <c r="AG66" i="1"/>
  <c r="AG65" i="1"/>
  <c r="AK66" i="1"/>
  <c r="AK65" i="1"/>
  <c r="AO66" i="1"/>
  <c r="AO65" i="1"/>
  <c r="AS66" i="1"/>
  <c r="AS65" i="1"/>
  <c r="E77" i="1"/>
  <c r="E76" i="1"/>
  <c r="N77" i="1"/>
  <c r="N76" i="1"/>
  <c r="R77" i="1"/>
  <c r="R76" i="1"/>
  <c r="V77" i="1"/>
  <c r="V76" i="1"/>
  <c r="Z77" i="1"/>
  <c r="Z76" i="1"/>
  <c r="AD77" i="1"/>
  <c r="AD76" i="1"/>
  <c r="AH77" i="1"/>
  <c r="AH76" i="1"/>
  <c r="J6" i="1"/>
  <c r="I6" i="1"/>
  <c r="H6" i="1"/>
  <c r="B8" i="1"/>
  <c r="B7" i="1"/>
  <c r="F7" i="1"/>
  <c r="F8" i="1"/>
  <c r="O7" i="1"/>
  <c r="O8" i="1"/>
  <c r="S7" i="1"/>
  <c r="S8" i="1"/>
  <c r="W7" i="1"/>
  <c r="W8" i="1"/>
  <c r="AA7" i="1"/>
  <c r="AA8" i="1"/>
  <c r="AE7" i="1"/>
  <c r="AE8" i="1"/>
  <c r="AI7" i="1"/>
  <c r="AI8" i="1"/>
  <c r="AM7" i="1"/>
  <c r="AM8" i="1"/>
  <c r="AQ7" i="1"/>
  <c r="AQ8" i="1"/>
  <c r="C13" i="1"/>
  <c r="C14" i="1"/>
  <c r="G13" i="1"/>
  <c r="G14" i="1"/>
  <c r="P13" i="1"/>
  <c r="P14" i="1"/>
  <c r="T13" i="1"/>
  <c r="T14" i="1"/>
  <c r="X13" i="1"/>
  <c r="X14" i="1"/>
  <c r="AB13" i="1"/>
  <c r="AB14" i="1"/>
  <c r="AF13" i="1"/>
  <c r="AF14" i="1"/>
  <c r="AJ13" i="1"/>
  <c r="AJ14" i="1"/>
  <c r="AN13" i="1"/>
  <c r="AN14" i="1"/>
  <c r="AR13" i="1"/>
  <c r="AR14" i="1"/>
  <c r="D19" i="1"/>
  <c r="D20" i="1"/>
  <c r="AT18" i="1"/>
  <c r="AV18" i="1"/>
  <c r="AU18" i="1"/>
  <c r="M19" i="1"/>
  <c r="M20" i="1"/>
  <c r="Q19" i="1"/>
  <c r="Q20" i="1"/>
  <c r="U19" i="1"/>
  <c r="U20" i="1"/>
  <c r="Y19" i="1"/>
  <c r="Y20" i="1"/>
  <c r="AC19" i="1"/>
  <c r="AC20" i="1"/>
  <c r="AG19" i="1"/>
  <c r="AG20" i="1"/>
  <c r="AK19" i="1"/>
  <c r="AK20" i="1"/>
  <c r="AO19" i="1"/>
  <c r="AO20" i="1"/>
  <c r="AS19" i="1"/>
  <c r="AS20" i="1"/>
  <c r="E30" i="1"/>
  <c r="E31" i="1"/>
  <c r="N30" i="1"/>
  <c r="N31" i="1"/>
  <c r="R30" i="1"/>
  <c r="R31" i="1"/>
  <c r="V30" i="1"/>
  <c r="V31" i="1"/>
  <c r="Z30" i="1"/>
  <c r="Z31" i="1"/>
  <c r="AD30" i="1"/>
  <c r="AD31" i="1"/>
  <c r="AH30" i="1"/>
  <c r="AH31" i="1"/>
  <c r="AL30" i="1"/>
  <c r="AL31" i="1"/>
  <c r="AP30" i="1"/>
  <c r="AP31" i="1"/>
  <c r="I35" i="1"/>
  <c r="J35" i="1"/>
  <c r="H35" i="1"/>
  <c r="B36" i="1"/>
  <c r="B37" i="1"/>
  <c r="F36" i="1"/>
  <c r="F37" i="1"/>
  <c r="O36" i="1"/>
  <c r="O37" i="1"/>
  <c r="S36" i="1"/>
  <c r="S37" i="1"/>
  <c r="W36" i="1"/>
  <c r="W37" i="1"/>
  <c r="AA36" i="1"/>
  <c r="AA37" i="1"/>
  <c r="AE36" i="1"/>
  <c r="AE37" i="1"/>
  <c r="AI36" i="1"/>
  <c r="AI37" i="1"/>
  <c r="AM36" i="1"/>
  <c r="AM37" i="1"/>
  <c r="AQ36" i="1"/>
  <c r="AQ37" i="1"/>
  <c r="C42" i="1"/>
  <c r="C43" i="1"/>
  <c r="G42" i="1"/>
  <c r="G43" i="1"/>
  <c r="P42" i="1"/>
  <c r="P43" i="1"/>
  <c r="T42" i="1"/>
  <c r="T43" i="1"/>
  <c r="X42" i="1"/>
  <c r="X43" i="1"/>
  <c r="AB42" i="1"/>
  <c r="AB43" i="1"/>
  <c r="AF42" i="1"/>
  <c r="AF43" i="1"/>
  <c r="AJ42" i="1"/>
  <c r="AJ43" i="1"/>
  <c r="AN42" i="1"/>
  <c r="AN43" i="1"/>
  <c r="AR42" i="1"/>
  <c r="AR43" i="1"/>
  <c r="D53" i="1"/>
  <c r="D54" i="1"/>
  <c r="AV52" i="1"/>
  <c r="AT52" i="1"/>
  <c r="AU52" i="1"/>
  <c r="M53" i="1"/>
  <c r="M54" i="1"/>
  <c r="Q53" i="1"/>
  <c r="Q54" i="1"/>
  <c r="U53" i="1"/>
  <c r="U54" i="1"/>
  <c r="Y53" i="1"/>
  <c r="Y54" i="1"/>
  <c r="AC53" i="1"/>
  <c r="AC54" i="1"/>
  <c r="AG53" i="1"/>
  <c r="AG54" i="1"/>
  <c r="AK53" i="1"/>
  <c r="AK54" i="1"/>
  <c r="AO53" i="1"/>
  <c r="AO54" i="1"/>
  <c r="AS53" i="1"/>
  <c r="AS54" i="1"/>
  <c r="E59" i="1"/>
  <c r="E60" i="1"/>
  <c r="N59" i="1"/>
  <c r="N60" i="1"/>
  <c r="R59" i="1"/>
  <c r="R60" i="1"/>
  <c r="V59" i="1"/>
  <c r="V60" i="1"/>
  <c r="Z59" i="1"/>
  <c r="Z60" i="1"/>
  <c r="AD59" i="1"/>
  <c r="AD60" i="1"/>
  <c r="AH60" i="1"/>
  <c r="AH59" i="1"/>
  <c r="AL60" i="1"/>
  <c r="AL59" i="1"/>
  <c r="AP60" i="1"/>
  <c r="AP59" i="1"/>
  <c r="J64" i="1"/>
  <c r="I64" i="1"/>
  <c r="H64" i="1"/>
  <c r="B66" i="1"/>
  <c r="B65" i="1"/>
  <c r="F66" i="1"/>
  <c r="F65" i="1"/>
  <c r="O66" i="1"/>
  <c r="O65" i="1"/>
  <c r="S66" i="1"/>
  <c r="S65" i="1"/>
  <c r="W66" i="1"/>
  <c r="W65" i="1"/>
  <c r="AA66" i="1"/>
  <c r="AA65" i="1"/>
  <c r="AE66" i="1"/>
  <c r="AE65" i="1"/>
  <c r="AI66" i="1"/>
  <c r="AI65" i="1"/>
  <c r="AM66" i="1"/>
  <c r="AM65" i="1"/>
  <c r="AQ66" i="1"/>
  <c r="AQ65" i="1"/>
  <c r="C77" i="1"/>
  <c r="C76" i="1"/>
  <c r="G77" i="1"/>
  <c r="G76" i="1"/>
  <c r="P77" i="1"/>
  <c r="P76" i="1"/>
  <c r="T77" i="1"/>
  <c r="T76" i="1"/>
  <c r="X77" i="1"/>
  <c r="X76" i="1"/>
  <c r="AB77" i="1"/>
  <c r="AB76" i="1"/>
  <c r="AF77" i="1"/>
  <c r="AF76" i="1"/>
  <c r="AJ77" i="1"/>
  <c r="AJ76" i="1"/>
  <c r="AN77" i="1"/>
  <c r="AN76" i="1"/>
  <c r="AR77" i="1"/>
  <c r="AR76" i="1"/>
  <c r="D83" i="1"/>
  <c r="D82" i="1"/>
  <c r="AV81" i="1"/>
  <c r="AT81" i="1"/>
  <c r="AU81" i="1"/>
  <c r="M83" i="1"/>
  <c r="M82" i="1"/>
  <c r="Q83" i="1"/>
  <c r="Q82" i="1"/>
  <c r="AL77" i="1"/>
  <c r="AL76" i="1"/>
  <c r="AP77" i="1"/>
  <c r="AP76" i="1"/>
  <c r="I81" i="1"/>
  <c r="H81" i="1"/>
  <c r="J81" i="1"/>
  <c r="B83" i="1"/>
  <c r="B82" i="1"/>
  <c r="F83" i="1"/>
  <c r="F82" i="1"/>
  <c r="O83" i="1"/>
  <c r="O82" i="1"/>
  <c r="S83" i="1"/>
  <c r="S82" i="1"/>
  <c r="W83" i="1"/>
  <c r="W82" i="1"/>
  <c r="AA83" i="1"/>
  <c r="AA82" i="1"/>
  <c r="AE83" i="1"/>
  <c r="AE82" i="1"/>
  <c r="AI83" i="1"/>
  <c r="AI82" i="1"/>
  <c r="AM83" i="1"/>
  <c r="AM82" i="1"/>
  <c r="AQ83" i="1"/>
  <c r="AQ82" i="1"/>
  <c r="C89" i="1"/>
  <c r="C88" i="1"/>
  <c r="G89" i="1"/>
  <c r="G88" i="1"/>
  <c r="P89" i="1"/>
  <c r="P88" i="1"/>
  <c r="T89" i="1"/>
  <c r="T88" i="1"/>
  <c r="X89" i="1"/>
  <c r="X88" i="1"/>
  <c r="AB89" i="1"/>
  <c r="AB88" i="1"/>
  <c r="AF89" i="1"/>
  <c r="AF88" i="1"/>
  <c r="AJ89" i="1"/>
  <c r="AJ88" i="1"/>
  <c r="AN89" i="1"/>
  <c r="AN88" i="1"/>
  <c r="AR89" i="1"/>
  <c r="AR88" i="1"/>
  <c r="U82" i="1"/>
  <c r="N88" i="1"/>
  <c r="I12" i="1"/>
  <c r="H12" i="1"/>
  <c r="J12" i="1"/>
  <c r="AT29" i="1"/>
  <c r="AU29" i="1"/>
  <c r="AV29" i="1"/>
  <c r="M30" i="1"/>
  <c r="J41" i="1"/>
  <c r="H41" i="1"/>
  <c r="I41" i="1"/>
  <c r="B42" i="1"/>
  <c r="AT58" i="1"/>
  <c r="AU58" i="1"/>
  <c r="AV58" i="1"/>
  <c r="M59" i="1"/>
  <c r="AG60" i="1"/>
  <c r="AG59" i="1"/>
  <c r="AO60" i="1"/>
  <c r="AO59" i="1"/>
  <c r="E66" i="1"/>
  <c r="E65" i="1"/>
  <c r="R66" i="1"/>
  <c r="R65" i="1"/>
  <c r="Z66" i="1"/>
  <c r="Z65" i="1"/>
  <c r="AH66" i="1"/>
  <c r="AH65" i="1"/>
  <c r="AP66" i="1"/>
  <c r="AP65" i="1"/>
  <c r="J75" i="1"/>
  <c r="H75" i="1"/>
  <c r="I75" i="1"/>
  <c r="B77" i="1"/>
  <c r="F77" i="1"/>
  <c r="F76" i="1"/>
  <c r="J76" i="1" s="1"/>
  <c r="S77" i="1"/>
  <c r="S76" i="1"/>
  <c r="AA77" i="1"/>
  <c r="AA76" i="1"/>
  <c r="AI77" i="1"/>
  <c r="AI76" i="1"/>
  <c r="AQ77" i="1"/>
  <c r="AQ76" i="1"/>
  <c r="G83" i="1"/>
  <c r="G82" i="1"/>
  <c r="T83" i="1"/>
  <c r="T82" i="1"/>
  <c r="AB83" i="1"/>
  <c r="AB82" i="1"/>
  <c r="AJ83" i="1"/>
  <c r="AJ82" i="1"/>
  <c r="AR83" i="1"/>
  <c r="AR82" i="1"/>
  <c r="AT87" i="1"/>
  <c r="AU87" i="1"/>
  <c r="AV87" i="1"/>
  <c r="M89" i="1"/>
  <c r="M88" i="1"/>
  <c r="U89" i="1"/>
  <c r="U88" i="1"/>
  <c r="AC89" i="1"/>
  <c r="AC88" i="1"/>
  <c r="AK89" i="1"/>
  <c r="AK88" i="1"/>
  <c r="AS89" i="1"/>
  <c r="AS88" i="1"/>
  <c r="B13" i="1"/>
  <c r="V20" i="1"/>
  <c r="Z20" i="1"/>
  <c r="AD20" i="1"/>
  <c r="AH20" i="1"/>
  <c r="AL20" i="1"/>
  <c r="AP20" i="1"/>
  <c r="F31" i="1"/>
  <c r="O31" i="1"/>
  <c r="S31" i="1"/>
  <c r="W31" i="1"/>
  <c r="AA31" i="1"/>
  <c r="AE31" i="1"/>
  <c r="AI31" i="1"/>
  <c r="AM31" i="1"/>
  <c r="AQ31" i="1"/>
  <c r="C37" i="1"/>
  <c r="G37" i="1"/>
  <c r="P37" i="1"/>
  <c r="T37" i="1"/>
  <c r="X37" i="1"/>
  <c r="AB37" i="1"/>
  <c r="AF37" i="1"/>
  <c r="AJ37" i="1"/>
  <c r="AN37" i="1"/>
  <c r="AR37" i="1"/>
  <c r="D43" i="1"/>
  <c r="Q43" i="1"/>
  <c r="U43" i="1"/>
  <c r="Y43" i="1"/>
  <c r="AC43" i="1"/>
  <c r="AG43" i="1"/>
  <c r="AK43" i="1"/>
  <c r="AO43" i="1"/>
  <c r="AS43" i="1"/>
  <c r="E54" i="1"/>
  <c r="N54" i="1"/>
  <c r="R54" i="1"/>
  <c r="V54" i="1"/>
  <c r="Z54" i="1"/>
  <c r="AF54" i="1"/>
  <c r="AN54" i="1"/>
  <c r="D60" i="1"/>
  <c r="Q60" i="1"/>
  <c r="Y60" i="1"/>
  <c r="AS59" i="1"/>
  <c r="P66" i="1"/>
  <c r="AL65" i="1"/>
  <c r="D77" i="1"/>
  <c r="AE76" i="1"/>
  <c r="AO77" i="1"/>
  <c r="X82" i="1"/>
  <c r="AH83" i="1"/>
  <c r="AS82" i="1"/>
  <c r="Q88" i="1"/>
  <c r="AA89" i="1"/>
  <c r="AL88" i="1"/>
  <c r="Y83" i="1"/>
  <c r="Y82" i="1"/>
  <c r="AG83" i="1"/>
  <c r="AG82" i="1"/>
  <c r="AO83" i="1"/>
  <c r="AO82" i="1"/>
  <c r="E89" i="1"/>
  <c r="E88" i="1"/>
  <c r="R89" i="1"/>
  <c r="R88" i="1"/>
  <c r="Z89" i="1"/>
  <c r="Z88" i="1"/>
  <c r="AH89" i="1"/>
  <c r="AH88" i="1"/>
  <c r="AP89" i="1"/>
  <c r="AP88" i="1"/>
  <c r="AK82" i="1"/>
  <c r="AD88" i="1"/>
  <c r="AV12" i="1"/>
  <c r="AU12" i="1"/>
  <c r="AT12" i="1"/>
  <c r="H29" i="1"/>
  <c r="J29" i="1"/>
  <c r="I29" i="1"/>
  <c r="B30" i="1"/>
  <c r="AV41" i="1"/>
  <c r="AU41" i="1"/>
  <c r="AT41" i="1"/>
  <c r="M42" i="1"/>
  <c r="J58" i="1"/>
  <c r="I58" i="1"/>
  <c r="H58" i="1"/>
  <c r="B59" i="1"/>
  <c r="AI59" i="1"/>
  <c r="AI60" i="1"/>
  <c r="AQ59" i="1"/>
  <c r="AQ60" i="1"/>
  <c r="G65" i="1"/>
  <c r="G66" i="1"/>
  <c r="T65" i="1"/>
  <c r="T66" i="1"/>
  <c r="AB65" i="1"/>
  <c r="AB66" i="1"/>
  <c r="AJ65" i="1"/>
  <c r="AJ66" i="1"/>
  <c r="AR65" i="1"/>
  <c r="AR66" i="1"/>
  <c r="AV75" i="1"/>
  <c r="AU75" i="1"/>
  <c r="AT75" i="1"/>
  <c r="M76" i="1"/>
  <c r="M77" i="1"/>
  <c r="U76" i="1"/>
  <c r="U77" i="1"/>
  <c r="AC76" i="1"/>
  <c r="AC77" i="1"/>
  <c r="AK76" i="1"/>
  <c r="AK77" i="1"/>
  <c r="AS76" i="1"/>
  <c r="AS77" i="1"/>
  <c r="N82" i="1"/>
  <c r="N83" i="1"/>
  <c r="V82" i="1"/>
  <c r="V83" i="1"/>
  <c r="AD82" i="1"/>
  <c r="AD83" i="1"/>
  <c r="AL82" i="1"/>
  <c r="AL83" i="1"/>
  <c r="J87" i="1"/>
  <c r="I87" i="1"/>
  <c r="H87" i="1"/>
  <c r="B88" i="1"/>
  <c r="B89" i="1"/>
  <c r="O88" i="1"/>
  <c r="O89" i="1"/>
  <c r="W88" i="1"/>
  <c r="W89" i="1"/>
  <c r="AE88" i="1"/>
  <c r="AE89" i="1"/>
  <c r="AM88" i="1"/>
  <c r="AM89" i="1"/>
  <c r="M14" i="1"/>
  <c r="T20" i="1"/>
  <c r="X20" i="1"/>
  <c r="AB20" i="1"/>
  <c r="AF20" i="1"/>
  <c r="AJ20" i="1"/>
  <c r="AN20" i="1"/>
  <c r="AR20" i="1"/>
  <c r="D31" i="1"/>
  <c r="M31" i="1"/>
  <c r="Q31" i="1"/>
  <c r="U31" i="1"/>
  <c r="Y31" i="1"/>
  <c r="AC31" i="1"/>
  <c r="AG31" i="1"/>
  <c r="AK31" i="1"/>
  <c r="AO31" i="1"/>
  <c r="AS31" i="1"/>
  <c r="E37" i="1"/>
  <c r="N37" i="1"/>
  <c r="R37" i="1"/>
  <c r="V37" i="1"/>
  <c r="Z37" i="1"/>
  <c r="AD37" i="1"/>
  <c r="AH37" i="1"/>
  <c r="AL37" i="1"/>
  <c r="AP37" i="1"/>
  <c r="B43" i="1"/>
  <c r="F43" i="1"/>
  <c r="O43" i="1"/>
  <c r="S43" i="1"/>
  <c r="W43" i="1"/>
  <c r="AA43" i="1"/>
  <c r="AE43" i="1"/>
  <c r="AI43" i="1"/>
  <c r="AM43" i="1"/>
  <c r="AQ43" i="1"/>
  <c r="C54" i="1"/>
  <c r="G54" i="1"/>
  <c r="P54" i="1"/>
  <c r="T54" i="1"/>
  <c r="X54" i="1"/>
  <c r="AB54" i="1"/>
  <c r="AJ54" i="1"/>
  <c r="AR54" i="1"/>
  <c r="M60" i="1"/>
  <c r="U60" i="1"/>
  <c r="AC60" i="1"/>
  <c r="AM60" i="1"/>
  <c r="V65" i="1"/>
  <c r="AF66" i="1"/>
  <c r="O76" i="1"/>
  <c r="Y77" i="1"/>
  <c r="C82" i="1"/>
  <c r="R83" i="1"/>
  <c r="AC82" i="1"/>
  <c r="AN82" i="1"/>
  <c r="F89" i="1"/>
  <c r="V88" i="1"/>
  <c r="AG88" i="1"/>
  <c r="AQ89" i="1"/>
  <c r="U32" i="2"/>
  <c r="E38" i="2"/>
  <c r="AH38" i="2"/>
  <c r="AA44" i="2"/>
  <c r="AC32" i="2"/>
  <c r="AP38" i="2"/>
  <c r="Y6" i="2"/>
  <c r="F18" i="2"/>
  <c r="N38" i="2"/>
  <c r="AI44" i="2"/>
  <c r="AK7" i="2"/>
  <c r="W19" i="2"/>
  <c r="R13" i="2"/>
  <c r="AQ19" i="2"/>
  <c r="AN32" i="2"/>
  <c r="V38" i="2"/>
  <c r="AB58" i="2"/>
  <c r="D7" i="2"/>
  <c r="AH13" i="2"/>
  <c r="Q32" i="2"/>
  <c r="AO32" i="2"/>
  <c r="AG38" i="2"/>
  <c r="O44" i="2"/>
  <c r="AR58" i="2"/>
  <c r="B33" i="2"/>
  <c r="I31" i="2"/>
  <c r="H31" i="2"/>
  <c r="J31" i="2"/>
  <c r="B65" i="2"/>
  <c r="J63" i="2"/>
  <c r="I63" i="2"/>
  <c r="H63" i="2"/>
  <c r="I95" i="2"/>
  <c r="H95" i="2"/>
  <c r="J95" i="2"/>
  <c r="B18" i="2"/>
  <c r="J17" i="2"/>
  <c r="H17" i="2"/>
  <c r="I17" i="2"/>
  <c r="J57" i="2"/>
  <c r="I57" i="2"/>
  <c r="H57" i="2"/>
  <c r="J89" i="2"/>
  <c r="H89" i="2"/>
  <c r="I89" i="2"/>
  <c r="M7" i="2"/>
  <c r="AC6" i="2"/>
  <c r="AS6" i="2"/>
  <c r="Z12" i="2"/>
  <c r="AL13" i="2"/>
  <c r="O18" i="2"/>
  <c r="AE18" i="2"/>
  <c r="C32" i="2"/>
  <c r="AF32" i="2"/>
  <c r="Y38" i="2"/>
  <c r="R44" i="2"/>
  <c r="B13" i="2"/>
  <c r="I11" i="2"/>
  <c r="H11" i="2"/>
  <c r="J11" i="2"/>
  <c r="B45" i="2"/>
  <c r="I43" i="2"/>
  <c r="J43" i="2"/>
  <c r="H43" i="2"/>
  <c r="I83" i="2"/>
  <c r="H83" i="2"/>
  <c r="J83" i="2"/>
  <c r="Q6" i="2"/>
  <c r="E13" i="2"/>
  <c r="AP12" i="2"/>
  <c r="AI19" i="2"/>
  <c r="G33" i="2"/>
  <c r="X32" i="2"/>
  <c r="AG32" i="2"/>
  <c r="AS32" i="2"/>
  <c r="Q38" i="2"/>
  <c r="Z38" i="2"/>
  <c r="AL38" i="2"/>
  <c r="E44" i="2"/>
  <c r="S44" i="2"/>
  <c r="G58" i="2"/>
  <c r="M64" i="2"/>
  <c r="B7" i="2"/>
  <c r="H5" i="2"/>
  <c r="I5" i="2"/>
  <c r="J5" i="2"/>
  <c r="H37" i="2"/>
  <c r="J37" i="2"/>
  <c r="I37" i="2"/>
  <c r="H69" i="2"/>
  <c r="J69" i="2"/>
  <c r="I69" i="2"/>
  <c r="U7" i="2"/>
  <c r="N12" i="2"/>
  <c r="B19" i="2"/>
  <c r="AM18" i="2"/>
  <c r="P33" i="2"/>
  <c r="Y32" i="2"/>
  <c r="AK32" i="2"/>
  <c r="D38" i="2"/>
  <c r="R38" i="2"/>
  <c r="AD38" i="2"/>
  <c r="AO38" i="2"/>
  <c r="F44" i="2"/>
  <c r="W44" i="2"/>
  <c r="T58" i="2"/>
  <c r="U64" i="2"/>
  <c r="AQ6" i="2"/>
  <c r="AC18" i="2"/>
  <c r="T12" i="2"/>
  <c r="F6" i="2"/>
  <c r="AG6" i="2"/>
  <c r="AO6" i="2"/>
  <c r="V12" i="2"/>
  <c r="AD12" i="2"/>
  <c r="AJ12" i="2"/>
  <c r="S18" i="2"/>
  <c r="AA18" i="2"/>
  <c r="AA6" i="2"/>
  <c r="M18" i="2"/>
  <c r="T32" i="2"/>
  <c r="AB32" i="2"/>
  <c r="AJ32" i="2"/>
  <c r="AR32" i="2"/>
  <c r="M38" i="2"/>
  <c r="U38" i="2"/>
  <c r="AC38" i="2"/>
  <c r="AK38" i="2"/>
  <c r="AS38" i="2"/>
  <c r="N44" i="2"/>
  <c r="V44" i="2"/>
  <c r="AQ44" i="2"/>
  <c r="AJ58" i="2"/>
  <c r="AC64" i="2"/>
  <c r="AG19" i="2"/>
  <c r="AG18" i="2"/>
  <c r="AO18" i="2"/>
  <c r="AO19" i="2"/>
  <c r="E32" i="2"/>
  <c r="E33" i="2"/>
  <c r="R33" i="2"/>
  <c r="R32" i="2"/>
  <c r="V33" i="2"/>
  <c r="V32" i="2"/>
  <c r="AD33" i="2"/>
  <c r="AD32" i="2"/>
  <c r="AL33" i="2"/>
  <c r="AL32" i="2"/>
  <c r="B39" i="2"/>
  <c r="B38" i="2"/>
  <c r="O39" i="2"/>
  <c r="O38" i="2"/>
  <c r="W39" i="2"/>
  <c r="W38" i="2"/>
  <c r="AE39" i="2"/>
  <c r="AE38" i="2"/>
  <c r="AM39" i="2"/>
  <c r="AM38" i="2"/>
  <c r="C45" i="2"/>
  <c r="C44" i="2"/>
  <c r="P45" i="2"/>
  <c r="P44" i="2"/>
  <c r="X45" i="2"/>
  <c r="X44" i="2"/>
  <c r="AF45" i="2"/>
  <c r="AF44" i="2"/>
  <c r="AN45" i="2"/>
  <c r="AN44" i="2"/>
  <c r="D59" i="2"/>
  <c r="D58" i="2"/>
  <c r="Q59" i="2"/>
  <c r="Q58" i="2"/>
  <c r="Y59" i="2"/>
  <c r="Y58" i="2"/>
  <c r="AG59" i="2"/>
  <c r="AG58" i="2"/>
  <c r="AO59" i="2"/>
  <c r="AO58" i="2"/>
  <c r="E65" i="2"/>
  <c r="E64" i="2"/>
  <c r="R65" i="2"/>
  <c r="R64" i="2"/>
  <c r="Z65" i="2"/>
  <c r="Z64" i="2"/>
  <c r="AH65" i="2"/>
  <c r="AH64" i="2"/>
  <c r="AP65" i="2"/>
  <c r="AP64" i="2"/>
  <c r="F71" i="2"/>
  <c r="F70" i="2"/>
  <c r="S71" i="2"/>
  <c r="S70" i="2"/>
  <c r="AA71" i="2"/>
  <c r="AA70" i="2"/>
  <c r="AI71" i="2"/>
  <c r="AI70" i="2"/>
  <c r="AM71" i="2"/>
  <c r="AM70" i="2"/>
  <c r="C85" i="2"/>
  <c r="C84" i="2"/>
  <c r="P85" i="2"/>
  <c r="P84" i="2"/>
  <c r="X85" i="2"/>
  <c r="X84" i="2"/>
  <c r="AF85" i="2"/>
  <c r="AF84" i="2"/>
  <c r="AN85" i="2"/>
  <c r="AN84" i="2"/>
  <c r="D91" i="2"/>
  <c r="D90" i="2"/>
  <c r="Q91" i="2"/>
  <c r="Q90" i="2"/>
  <c r="U91" i="2"/>
  <c r="U90" i="2"/>
  <c r="AC91" i="2"/>
  <c r="AC90" i="2"/>
  <c r="AK91" i="2"/>
  <c r="AK90" i="2"/>
  <c r="AS91" i="2"/>
  <c r="AS90" i="2"/>
  <c r="N97" i="2"/>
  <c r="N96" i="2"/>
  <c r="V97" i="2"/>
  <c r="V96" i="2"/>
  <c r="AD97" i="2"/>
  <c r="AD96" i="2"/>
  <c r="AP97" i="2"/>
  <c r="AP96" i="2"/>
  <c r="W6" i="2"/>
  <c r="AM6" i="2"/>
  <c r="P12" i="2"/>
  <c r="AF12" i="2"/>
  <c r="D18" i="2"/>
  <c r="S6" i="2"/>
  <c r="AI6" i="2"/>
  <c r="G12" i="2"/>
  <c r="AB12" i="2"/>
  <c r="AR12" i="2"/>
  <c r="U18" i="2"/>
  <c r="AK19" i="2"/>
  <c r="AK18" i="2"/>
  <c r="AS18" i="2"/>
  <c r="AS19" i="2"/>
  <c r="N32" i="2"/>
  <c r="N33" i="2"/>
  <c r="Z33" i="2"/>
  <c r="Z32" i="2"/>
  <c r="AH33" i="2"/>
  <c r="AH32" i="2"/>
  <c r="AP33" i="2"/>
  <c r="AP32" i="2"/>
  <c r="F39" i="2"/>
  <c r="F38" i="2"/>
  <c r="S39" i="2"/>
  <c r="S38" i="2"/>
  <c r="AA39" i="2"/>
  <c r="AA38" i="2"/>
  <c r="AI39" i="2"/>
  <c r="AI38" i="2"/>
  <c r="AQ39" i="2"/>
  <c r="AQ38" i="2"/>
  <c r="G45" i="2"/>
  <c r="G44" i="2"/>
  <c r="T45" i="2"/>
  <c r="T44" i="2"/>
  <c r="AB45" i="2"/>
  <c r="AB44" i="2"/>
  <c r="AJ45" i="2"/>
  <c r="AJ44" i="2"/>
  <c r="AR45" i="2"/>
  <c r="AR44" i="2"/>
  <c r="M59" i="2"/>
  <c r="M58" i="2"/>
  <c r="U59" i="2"/>
  <c r="U58" i="2"/>
  <c r="AC59" i="2"/>
  <c r="AC58" i="2"/>
  <c r="AK59" i="2"/>
  <c r="AK58" i="2"/>
  <c r="AS59" i="2"/>
  <c r="AS58" i="2"/>
  <c r="N65" i="2"/>
  <c r="N64" i="2"/>
  <c r="V65" i="2"/>
  <c r="V64" i="2"/>
  <c r="AD65" i="2"/>
  <c r="AD64" i="2"/>
  <c r="AL65" i="2"/>
  <c r="AL64" i="2"/>
  <c r="B71" i="2"/>
  <c r="B70" i="2"/>
  <c r="O71" i="2"/>
  <c r="O70" i="2"/>
  <c r="W71" i="2"/>
  <c r="W70" i="2"/>
  <c r="AE71" i="2"/>
  <c r="AE70" i="2"/>
  <c r="AQ71" i="2"/>
  <c r="AQ70" i="2"/>
  <c r="G85" i="2"/>
  <c r="G84" i="2"/>
  <c r="T85" i="2"/>
  <c r="T84" i="2"/>
  <c r="AB85" i="2"/>
  <c r="AB84" i="2"/>
  <c r="AJ85" i="2"/>
  <c r="AJ84" i="2"/>
  <c r="AR85" i="2"/>
  <c r="AR84" i="2"/>
  <c r="M91" i="2"/>
  <c r="M90" i="2"/>
  <c r="Y91" i="2"/>
  <c r="Y90" i="2"/>
  <c r="AG91" i="2"/>
  <c r="AG90" i="2"/>
  <c r="AO91" i="2"/>
  <c r="AO90" i="2"/>
  <c r="E97" i="2"/>
  <c r="E96" i="2"/>
  <c r="R97" i="2"/>
  <c r="R96" i="2"/>
  <c r="Z97" i="2"/>
  <c r="Z96" i="2"/>
  <c r="AH97" i="2"/>
  <c r="AH96" i="2"/>
  <c r="AL97" i="2"/>
  <c r="AL96" i="2"/>
  <c r="B6" i="2"/>
  <c r="Y18" i="2"/>
  <c r="O6" i="2"/>
  <c r="AE6" i="2"/>
  <c r="C12" i="2"/>
  <c r="X12" i="2"/>
  <c r="AN12" i="2"/>
  <c r="Q18" i="2"/>
  <c r="AM64" i="2"/>
  <c r="AM65" i="2"/>
  <c r="C70" i="2"/>
  <c r="C71" i="2"/>
  <c r="P70" i="2"/>
  <c r="P71" i="2"/>
  <c r="X70" i="2"/>
  <c r="X71" i="2"/>
  <c r="AF70" i="2"/>
  <c r="AF71" i="2"/>
  <c r="AN70" i="2"/>
  <c r="AN71" i="2"/>
  <c r="D84" i="2"/>
  <c r="D85" i="2"/>
  <c r="Q84" i="2"/>
  <c r="Q85" i="2"/>
  <c r="Y84" i="2"/>
  <c r="Y85" i="2"/>
  <c r="AG84" i="2"/>
  <c r="AG85" i="2"/>
  <c r="AO84" i="2"/>
  <c r="AO85" i="2"/>
  <c r="E90" i="2"/>
  <c r="E91" i="2"/>
  <c r="R90" i="2"/>
  <c r="R91" i="2"/>
  <c r="Z90" i="2"/>
  <c r="Z91" i="2"/>
  <c r="AH90" i="2"/>
  <c r="AH91" i="2"/>
  <c r="AL90" i="2"/>
  <c r="AL91" i="2"/>
  <c r="B96" i="2"/>
  <c r="B97" i="2"/>
  <c r="O96" i="2"/>
  <c r="O97" i="2"/>
  <c r="W96" i="2"/>
  <c r="W97" i="2"/>
  <c r="AI96" i="2"/>
  <c r="AI97" i="2"/>
  <c r="AQ96" i="2"/>
  <c r="AQ97" i="2"/>
  <c r="AC44" i="2"/>
  <c r="AS44" i="2"/>
  <c r="V58" i="2"/>
  <c r="AL58" i="2"/>
  <c r="O64" i="2"/>
  <c r="AE64" i="2"/>
  <c r="Z45" i="2"/>
  <c r="Z44" i="2"/>
  <c r="AD45" i="2"/>
  <c r="AD44" i="2"/>
  <c r="AH45" i="2"/>
  <c r="AH44" i="2"/>
  <c r="AL45" i="2"/>
  <c r="AL44" i="2"/>
  <c r="AP45" i="2"/>
  <c r="AP44" i="2"/>
  <c r="B59" i="2"/>
  <c r="B58" i="2"/>
  <c r="F59" i="2"/>
  <c r="F58" i="2"/>
  <c r="O59" i="2"/>
  <c r="O58" i="2"/>
  <c r="S59" i="2"/>
  <c r="S58" i="2"/>
  <c r="W59" i="2"/>
  <c r="W58" i="2"/>
  <c r="AA59" i="2"/>
  <c r="AA58" i="2"/>
  <c r="AE59" i="2"/>
  <c r="AE58" i="2"/>
  <c r="AI59" i="2"/>
  <c r="AI58" i="2"/>
  <c r="AM59" i="2"/>
  <c r="AM58" i="2"/>
  <c r="AQ59" i="2"/>
  <c r="AQ58" i="2"/>
  <c r="C65" i="2"/>
  <c r="C64" i="2"/>
  <c r="G65" i="2"/>
  <c r="G64" i="2"/>
  <c r="P65" i="2"/>
  <c r="P64" i="2"/>
  <c r="T65" i="2"/>
  <c r="T64" i="2"/>
  <c r="X65" i="2"/>
  <c r="X64" i="2"/>
  <c r="AB65" i="2"/>
  <c r="AB64" i="2"/>
  <c r="AF65" i="2"/>
  <c r="AF64" i="2"/>
  <c r="AJ65" i="2"/>
  <c r="AJ64" i="2"/>
  <c r="AN65" i="2"/>
  <c r="AN64" i="2"/>
  <c r="AR65" i="2"/>
  <c r="AR64" i="2"/>
  <c r="D71" i="2"/>
  <c r="D70" i="2"/>
  <c r="M71" i="2"/>
  <c r="M70" i="2"/>
  <c r="Q71" i="2"/>
  <c r="Q70" i="2"/>
  <c r="U71" i="2"/>
  <c r="U70" i="2"/>
  <c r="Y71" i="2"/>
  <c r="Y70" i="2"/>
  <c r="AC71" i="2"/>
  <c r="AC70" i="2"/>
  <c r="AG71" i="2"/>
  <c r="AG70" i="2"/>
  <c r="AK71" i="2"/>
  <c r="AK70" i="2"/>
  <c r="AO71" i="2"/>
  <c r="AO70" i="2"/>
  <c r="AS71" i="2"/>
  <c r="AS70" i="2"/>
  <c r="E85" i="2"/>
  <c r="E84" i="2"/>
  <c r="N85" i="2"/>
  <c r="N84" i="2"/>
  <c r="R85" i="2"/>
  <c r="R84" i="2"/>
  <c r="V85" i="2"/>
  <c r="V84" i="2"/>
  <c r="Z85" i="2"/>
  <c r="Z84" i="2"/>
  <c r="AD85" i="2"/>
  <c r="AD84" i="2"/>
  <c r="AH85" i="2"/>
  <c r="AH84" i="2"/>
  <c r="AL85" i="2"/>
  <c r="AL84" i="2"/>
  <c r="AP85" i="2"/>
  <c r="AP84" i="2"/>
  <c r="B91" i="2"/>
  <c r="B90" i="2"/>
  <c r="F91" i="2"/>
  <c r="F90" i="2"/>
  <c r="O91" i="2"/>
  <c r="O90" i="2"/>
  <c r="S91" i="2"/>
  <c r="S90" i="2"/>
  <c r="W91" i="2"/>
  <c r="W90" i="2"/>
  <c r="AA91" i="2"/>
  <c r="AA90" i="2"/>
  <c r="AE91" i="2"/>
  <c r="AE90" i="2"/>
  <c r="AI91" i="2"/>
  <c r="AI90" i="2"/>
  <c r="AM91" i="2"/>
  <c r="AM90" i="2"/>
  <c r="AQ91" i="2"/>
  <c r="AQ90" i="2"/>
  <c r="C97" i="2"/>
  <c r="C96" i="2"/>
  <c r="G97" i="2"/>
  <c r="G96" i="2"/>
  <c r="P97" i="2"/>
  <c r="P96" i="2"/>
  <c r="T97" i="2"/>
  <c r="T96" i="2"/>
  <c r="X97" i="2"/>
  <c r="X96" i="2"/>
  <c r="AB97" i="2"/>
  <c r="AB96" i="2"/>
  <c r="AF97" i="2"/>
  <c r="AF96" i="2"/>
  <c r="AJ97" i="2"/>
  <c r="AJ96" i="2"/>
  <c r="AN97" i="2"/>
  <c r="AN96" i="2"/>
  <c r="AR97" i="2"/>
  <c r="AR96" i="2"/>
  <c r="C6" i="2"/>
  <c r="E6" i="2"/>
  <c r="G6" i="2"/>
  <c r="N6" i="2"/>
  <c r="P6" i="2"/>
  <c r="R6" i="2"/>
  <c r="T6" i="2"/>
  <c r="V6" i="2"/>
  <c r="X6" i="2"/>
  <c r="Z6" i="2"/>
  <c r="AB6" i="2"/>
  <c r="AD6" i="2"/>
  <c r="AF6" i="2"/>
  <c r="AH6" i="2"/>
  <c r="AJ6" i="2"/>
  <c r="AL6" i="2"/>
  <c r="AN6" i="2"/>
  <c r="AP6" i="2"/>
  <c r="AR6" i="2"/>
  <c r="B12" i="2"/>
  <c r="D12" i="2"/>
  <c r="F12" i="2"/>
  <c r="M12" i="2"/>
  <c r="O12" i="2"/>
  <c r="Q12" i="2"/>
  <c r="S12" i="2"/>
  <c r="U12" i="2"/>
  <c r="W12" i="2"/>
  <c r="Y12" i="2"/>
  <c r="AA12" i="2"/>
  <c r="AC12" i="2"/>
  <c r="AE12" i="2"/>
  <c r="AG12" i="2"/>
  <c r="AI12" i="2"/>
  <c r="AK12" i="2"/>
  <c r="AM12" i="2"/>
  <c r="AO12" i="2"/>
  <c r="AQ12" i="2"/>
  <c r="AS12" i="2"/>
  <c r="C18" i="2"/>
  <c r="E18" i="2"/>
  <c r="G18" i="2"/>
  <c r="N18" i="2"/>
  <c r="P18" i="2"/>
  <c r="R18" i="2"/>
  <c r="T18" i="2"/>
  <c r="V18" i="2"/>
  <c r="X18" i="2"/>
  <c r="Z18" i="2"/>
  <c r="AB18" i="2"/>
  <c r="AD18" i="2"/>
  <c r="AF18" i="2"/>
  <c r="AH18" i="2"/>
  <c r="AJ18" i="2"/>
  <c r="AL18" i="2"/>
  <c r="AN18" i="2"/>
  <c r="AP18" i="2"/>
  <c r="AR18" i="2"/>
  <c r="B32" i="2"/>
  <c r="D32" i="2"/>
  <c r="F32" i="2"/>
  <c r="M32" i="2"/>
  <c r="O32" i="2"/>
  <c r="AE44" i="2"/>
  <c r="AM44" i="2"/>
  <c r="C58" i="2"/>
  <c r="P58" i="2"/>
  <c r="X58" i="2"/>
  <c r="AF58" i="2"/>
  <c r="AN58" i="2"/>
  <c r="D64" i="2"/>
  <c r="Q64" i="2"/>
  <c r="Y64" i="2"/>
  <c r="AI64" i="2"/>
  <c r="AI65" i="2"/>
  <c r="AQ64" i="2"/>
  <c r="AQ65" i="2"/>
  <c r="G70" i="2"/>
  <c r="G71" i="2"/>
  <c r="T70" i="2"/>
  <c r="T71" i="2"/>
  <c r="AB70" i="2"/>
  <c r="AB71" i="2"/>
  <c r="AJ70" i="2"/>
  <c r="AJ71" i="2"/>
  <c r="AR70" i="2"/>
  <c r="AR71" i="2"/>
  <c r="M84" i="2"/>
  <c r="M85" i="2"/>
  <c r="U84" i="2"/>
  <c r="U85" i="2"/>
  <c r="AC84" i="2"/>
  <c r="AC85" i="2"/>
  <c r="AK84" i="2"/>
  <c r="AK85" i="2"/>
  <c r="AS84" i="2"/>
  <c r="AS85" i="2"/>
  <c r="N90" i="2"/>
  <c r="N91" i="2"/>
  <c r="V90" i="2"/>
  <c r="V91" i="2"/>
  <c r="AD90" i="2"/>
  <c r="AD91" i="2"/>
  <c r="AP90" i="2"/>
  <c r="AP91" i="2"/>
  <c r="F96" i="2"/>
  <c r="F97" i="2"/>
  <c r="S96" i="2"/>
  <c r="S97" i="2"/>
  <c r="AA96" i="2"/>
  <c r="AA97" i="2"/>
  <c r="AE96" i="2"/>
  <c r="AE97" i="2"/>
  <c r="AM96" i="2"/>
  <c r="AM97" i="2"/>
  <c r="AK44" i="2"/>
  <c r="N58" i="2"/>
  <c r="AD58" i="2"/>
  <c r="B64" i="2"/>
  <c r="W64" i="2"/>
  <c r="AG64" i="2"/>
  <c r="AG65" i="2"/>
  <c r="AK64" i="2"/>
  <c r="AK65" i="2"/>
  <c r="AO64" i="2"/>
  <c r="AO65" i="2"/>
  <c r="AS64" i="2"/>
  <c r="AS65" i="2"/>
  <c r="E70" i="2"/>
  <c r="E71" i="2"/>
  <c r="N70" i="2"/>
  <c r="N71" i="2"/>
  <c r="R70" i="2"/>
  <c r="R71" i="2"/>
  <c r="V70" i="2"/>
  <c r="V71" i="2"/>
  <c r="Z70" i="2"/>
  <c r="Z71" i="2"/>
  <c r="AD70" i="2"/>
  <c r="AD71" i="2"/>
  <c r="AH70" i="2"/>
  <c r="AH71" i="2"/>
  <c r="AL70" i="2"/>
  <c r="AL71" i="2"/>
  <c r="AP70" i="2"/>
  <c r="AP71" i="2"/>
  <c r="B84" i="2"/>
  <c r="B85" i="2"/>
  <c r="F84" i="2"/>
  <c r="F85" i="2"/>
  <c r="O84" i="2"/>
  <c r="O85" i="2"/>
  <c r="S84" i="2"/>
  <c r="S85" i="2"/>
  <c r="W84" i="2"/>
  <c r="W85" i="2"/>
  <c r="AA84" i="2"/>
  <c r="AA85" i="2"/>
  <c r="AE84" i="2"/>
  <c r="AE85" i="2"/>
  <c r="AI84" i="2"/>
  <c r="AI85" i="2"/>
  <c r="AM84" i="2"/>
  <c r="AM85" i="2"/>
  <c r="AQ84" i="2"/>
  <c r="AQ85" i="2"/>
  <c r="C90" i="2"/>
  <c r="C91" i="2"/>
  <c r="G90" i="2"/>
  <c r="G91" i="2"/>
  <c r="P90" i="2"/>
  <c r="P91" i="2"/>
  <c r="T90" i="2"/>
  <c r="T91" i="2"/>
  <c r="X90" i="2"/>
  <c r="X91" i="2"/>
  <c r="AB90" i="2"/>
  <c r="AB91" i="2"/>
  <c r="AF90" i="2"/>
  <c r="AF91" i="2"/>
  <c r="AJ90" i="2"/>
  <c r="AJ91" i="2"/>
  <c r="AN90" i="2"/>
  <c r="AN91" i="2"/>
  <c r="AR90" i="2"/>
  <c r="AR91" i="2"/>
  <c r="D96" i="2"/>
  <c r="D97" i="2"/>
  <c r="M96" i="2"/>
  <c r="M97" i="2"/>
  <c r="Q96" i="2"/>
  <c r="Q97" i="2"/>
  <c r="U96" i="2"/>
  <c r="U97" i="2"/>
  <c r="Y96" i="2"/>
  <c r="Y97" i="2"/>
  <c r="AC96" i="2"/>
  <c r="AC97" i="2"/>
  <c r="AG96" i="2"/>
  <c r="AG97" i="2"/>
  <c r="AK96" i="2"/>
  <c r="AK97" i="2"/>
  <c r="AO96" i="2"/>
  <c r="AO97" i="2"/>
  <c r="AS96" i="2"/>
  <c r="AS97" i="2"/>
  <c r="S32" i="2"/>
  <c r="W32" i="2"/>
  <c r="AA32" i="2"/>
  <c r="AE32" i="2"/>
  <c r="AI32" i="2"/>
  <c r="AM32" i="2"/>
  <c r="AQ32" i="2"/>
  <c r="C38" i="2"/>
  <c r="G38" i="2"/>
  <c r="P38" i="2"/>
  <c r="T38" i="2"/>
  <c r="X38" i="2"/>
  <c r="AB38" i="2"/>
  <c r="AF38" i="2"/>
  <c r="AJ38" i="2"/>
  <c r="AN38" i="2"/>
  <c r="AR38" i="2"/>
  <c r="D44" i="2"/>
  <c r="M44" i="2"/>
  <c r="Q44" i="2"/>
  <c r="U44" i="2"/>
  <c r="Y44" i="2"/>
  <c r="AG44" i="2"/>
  <c r="AO44" i="2"/>
  <c r="E58" i="2"/>
  <c r="R58" i="2"/>
  <c r="Z58" i="2"/>
  <c r="AH58" i="2"/>
  <c r="AP58" i="2"/>
  <c r="F64" i="2"/>
  <c r="S64" i="2"/>
  <c r="AA64" i="2"/>
  <c r="I14" i="1" l="1"/>
  <c r="AV43" i="1"/>
  <c r="I76" i="1"/>
  <c r="J14" i="1"/>
  <c r="J31" i="1"/>
  <c r="I60" i="1"/>
  <c r="AT13" i="1"/>
  <c r="H14" i="1"/>
  <c r="J60" i="1"/>
  <c r="AV13" i="1"/>
  <c r="H76" i="1"/>
  <c r="AU43" i="1"/>
  <c r="J43" i="1"/>
  <c r="I43" i="1"/>
  <c r="H43" i="1"/>
  <c r="J89" i="1"/>
  <c r="I89" i="1"/>
  <c r="H89" i="1"/>
  <c r="I59" i="1"/>
  <c r="J59" i="1"/>
  <c r="H59" i="1"/>
  <c r="AV42" i="1"/>
  <c r="AT42" i="1"/>
  <c r="AU42" i="1"/>
  <c r="J30" i="1"/>
  <c r="I30" i="1"/>
  <c r="H30" i="1"/>
  <c r="AU88" i="1"/>
  <c r="AT88" i="1"/>
  <c r="AV88" i="1"/>
  <c r="J82" i="1"/>
  <c r="I82" i="1"/>
  <c r="H82" i="1"/>
  <c r="AU83" i="1"/>
  <c r="AV83" i="1"/>
  <c r="AT83" i="1"/>
  <c r="I65" i="1"/>
  <c r="H65" i="1"/>
  <c r="J65" i="1"/>
  <c r="AT53" i="1"/>
  <c r="AU53" i="1"/>
  <c r="AV53" i="1"/>
  <c r="I37" i="1"/>
  <c r="H37" i="1"/>
  <c r="J37" i="1"/>
  <c r="AT19" i="1"/>
  <c r="AU19" i="1"/>
  <c r="AV19" i="1"/>
  <c r="J7" i="1"/>
  <c r="I7" i="1"/>
  <c r="H7" i="1"/>
  <c r="AT66" i="1"/>
  <c r="AV66" i="1"/>
  <c r="AU66" i="1"/>
  <c r="H54" i="1"/>
  <c r="J54" i="1"/>
  <c r="I54" i="1"/>
  <c r="AV36" i="1"/>
  <c r="AU36" i="1"/>
  <c r="AT36" i="1"/>
  <c r="I20" i="1"/>
  <c r="H20" i="1"/>
  <c r="J20" i="1"/>
  <c r="AV7" i="1"/>
  <c r="AU7" i="1"/>
  <c r="AT7" i="1"/>
  <c r="AT43" i="1"/>
  <c r="J88" i="1"/>
  <c r="I88" i="1"/>
  <c r="H88" i="1"/>
  <c r="AT77" i="1"/>
  <c r="AU77" i="1"/>
  <c r="AV77" i="1"/>
  <c r="AU13" i="1"/>
  <c r="AV89" i="1"/>
  <c r="AU89" i="1"/>
  <c r="AT89" i="1"/>
  <c r="J77" i="1"/>
  <c r="I77" i="1"/>
  <c r="H77" i="1"/>
  <c r="H60" i="1"/>
  <c r="H83" i="1"/>
  <c r="J83" i="1"/>
  <c r="I83" i="1"/>
  <c r="I66" i="1"/>
  <c r="H66" i="1"/>
  <c r="J66" i="1"/>
  <c r="I36" i="1"/>
  <c r="H36" i="1"/>
  <c r="J36" i="1"/>
  <c r="J8" i="1"/>
  <c r="I8" i="1"/>
  <c r="H8" i="1"/>
  <c r="H53" i="1"/>
  <c r="J53" i="1"/>
  <c r="I53" i="1"/>
  <c r="J19" i="1"/>
  <c r="I19" i="1"/>
  <c r="H19" i="1"/>
  <c r="I31" i="1"/>
  <c r="AV60" i="1"/>
  <c r="AU60" i="1"/>
  <c r="AT60" i="1"/>
  <c r="AV31" i="1"/>
  <c r="AU31" i="1"/>
  <c r="AT31" i="1"/>
  <c r="AT76" i="1"/>
  <c r="AV76" i="1"/>
  <c r="AU76" i="1"/>
  <c r="H31" i="1"/>
  <c r="AT14" i="1"/>
  <c r="AU14" i="1"/>
  <c r="AV14" i="1"/>
  <c r="J13" i="1"/>
  <c r="I13" i="1"/>
  <c r="H13" i="1"/>
  <c r="AU59" i="1"/>
  <c r="AT59" i="1"/>
  <c r="AV59" i="1"/>
  <c r="J42" i="1"/>
  <c r="I42" i="1"/>
  <c r="H42" i="1"/>
  <c r="AU30" i="1"/>
  <c r="AT30" i="1"/>
  <c r="AV30" i="1"/>
  <c r="AT82" i="1"/>
  <c r="AU82" i="1"/>
  <c r="AV82" i="1"/>
  <c r="AU54" i="1"/>
  <c r="AT54" i="1"/>
  <c r="AV54" i="1"/>
  <c r="AU20" i="1"/>
  <c r="AV20" i="1"/>
  <c r="AT20" i="1"/>
  <c r="AV65" i="1"/>
  <c r="AU65" i="1"/>
  <c r="AT65" i="1"/>
  <c r="AV37" i="1"/>
  <c r="AT37" i="1"/>
  <c r="AU37" i="1"/>
  <c r="AV8" i="1"/>
  <c r="AU8" i="1"/>
  <c r="AT8" i="1"/>
  <c r="H44" i="2"/>
  <c r="J44" i="2"/>
  <c r="J90" i="2"/>
  <c r="I90" i="2"/>
  <c r="H90" i="2"/>
  <c r="I97" i="2"/>
  <c r="H97" i="2"/>
  <c r="J97" i="2"/>
  <c r="J39" i="2"/>
  <c r="I39" i="2"/>
  <c r="H39" i="2"/>
  <c r="J45" i="2"/>
  <c r="I45" i="2"/>
  <c r="H45" i="2"/>
  <c r="I13" i="2"/>
  <c r="H13" i="2"/>
  <c r="J13" i="2"/>
  <c r="J18" i="2"/>
  <c r="I18" i="2"/>
  <c r="H18" i="2"/>
  <c r="H91" i="2"/>
  <c r="I91" i="2"/>
  <c r="J91" i="2"/>
  <c r="H96" i="2"/>
  <c r="I96" i="2"/>
  <c r="J96" i="2"/>
  <c r="I6" i="2"/>
  <c r="H6" i="2"/>
  <c r="J6" i="2"/>
  <c r="I85" i="2"/>
  <c r="H85" i="2"/>
  <c r="J85" i="2"/>
  <c r="J12" i="2"/>
  <c r="I12" i="2"/>
  <c r="H12" i="2"/>
  <c r="I58" i="2"/>
  <c r="J58" i="2"/>
  <c r="H58" i="2"/>
  <c r="I70" i="2"/>
  <c r="J70" i="2"/>
  <c r="H70" i="2"/>
  <c r="H19" i="2"/>
  <c r="J19" i="2"/>
  <c r="I19" i="2"/>
  <c r="J7" i="2"/>
  <c r="H7" i="2"/>
  <c r="I7" i="2"/>
  <c r="I44" i="2"/>
  <c r="J84" i="2"/>
  <c r="I84" i="2"/>
  <c r="H84" i="2"/>
  <c r="H64" i="2"/>
  <c r="J64" i="2"/>
  <c r="I64" i="2"/>
  <c r="H32" i="2"/>
  <c r="J32" i="2"/>
  <c r="I32" i="2"/>
  <c r="H59" i="2"/>
  <c r="J59" i="2"/>
  <c r="I59" i="2"/>
  <c r="J71" i="2"/>
  <c r="H71" i="2"/>
  <c r="I71" i="2"/>
  <c r="I38" i="2"/>
  <c r="H38" i="2"/>
  <c r="J38" i="2"/>
  <c r="I65" i="2"/>
  <c r="H65" i="2"/>
  <c r="J65" i="2"/>
  <c r="I33" i="2"/>
  <c r="J33" i="2"/>
  <c r="H33" i="2"/>
</calcChain>
</file>

<file path=xl/sharedStrings.xml><?xml version="1.0" encoding="utf-8"?>
<sst xmlns="http://schemas.openxmlformats.org/spreadsheetml/2006/main" count="454" uniqueCount="64">
  <si>
    <t>disk</t>
  </si>
  <si>
    <t>sda</t>
  </si>
  <si>
    <t>sdb</t>
  </si>
  <si>
    <t>sdd</t>
  </si>
  <si>
    <t>sde</t>
  </si>
  <si>
    <t>sdf</t>
  </si>
  <si>
    <t>sdg</t>
  </si>
  <si>
    <t>sdh</t>
  </si>
  <si>
    <t>sdi</t>
  </si>
  <si>
    <t>sdj</t>
  </si>
  <si>
    <t>sdk</t>
  </si>
  <si>
    <t>sdl</t>
  </si>
  <si>
    <t>sdm</t>
  </si>
  <si>
    <t>sdn</t>
  </si>
  <si>
    <t>IOPS(randwrite_04k)</t>
  </si>
  <si>
    <t>IOPS(randwrite_08k)</t>
  </si>
  <si>
    <t>IOPS(randwrite_64k)</t>
  </si>
  <si>
    <t>BW(randwrite_04k)</t>
  </si>
  <si>
    <t>BW(randwrite_08k)</t>
  </si>
  <si>
    <t>BW(randwrite_64k)</t>
  </si>
  <si>
    <t>IOPS(randread_04k)</t>
  </si>
  <si>
    <t>IOPS(randread_08k)</t>
  </si>
  <si>
    <t>IOPS(randread_64k)</t>
  </si>
  <si>
    <t>BW(randread_04k)</t>
  </si>
  <si>
    <t>BW(randread_08k)</t>
  </si>
  <si>
    <t>BW(randread_64k)</t>
  </si>
  <si>
    <t>IOPS(write_64k)</t>
  </si>
  <si>
    <t>IOPS(write_512k)</t>
  </si>
  <si>
    <t>IOPS(write_1m)</t>
  </si>
  <si>
    <t>BW(write_64k)</t>
  </si>
  <si>
    <t>BW(write_512k)</t>
  </si>
  <si>
    <t>BW(write_1m)</t>
  </si>
  <si>
    <t>IOPS(read_64k)</t>
  </si>
  <si>
    <t>IOPS(read_512k)</t>
  </si>
  <si>
    <t>IOPS(read_1m)</t>
  </si>
  <si>
    <t>BW(read_64k)</t>
  </si>
  <si>
    <t>BW(read_512k)</t>
  </si>
  <si>
    <t>BW(read_1m)</t>
  </si>
  <si>
    <t>bare_disk/xfs_disk</t>
    <phoneticPr fontId="3" type="noConversion"/>
  </si>
  <si>
    <t>diff</t>
    <phoneticPr fontId="3" type="noConversion"/>
  </si>
  <si>
    <t>diff/bare(%)</t>
    <phoneticPr fontId="3" type="noConversion"/>
  </si>
  <si>
    <t>diff/xfs(%)</t>
    <phoneticPr fontId="3" type="noConversion"/>
  </si>
  <si>
    <t>avg</t>
    <phoneticPr fontId="3" type="noConversion"/>
  </si>
  <si>
    <t>min</t>
    <phoneticPr fontId="3" type="noConversion"/>
  </si>
  <si>
    <t>max</t>
    <phoneticPr fontId="3" type="noConversion"/>
  </si>
  <si>
    <t>SSD</t>
    <phoneticPr fontId="3" type="noConversion"/>
  </si>
  <si>
    <t>HDD</t>
    <phoneticPr fontId="3" type="noConversion"/>
  </si>
  <si>
    <t>randwrite_04k</t>
    <phoneticPr fontId="3" type="noConversion"/>
  </si>
  <si>
    <t>randwrite_08k</t>
    <phoneticPr fontId="3" type="noConversion"/>
  </si>
  <si>
    <t>randwrite_64k</t>
    <phoneticPr fontId="3" type="noConversion"/>
  </si>
  <si>
    <t>randread_04k</t>
    <phoneticPr fontId="3" type="noConversion"/>
  </si>
  <si>
    <t>randread_08k</t>
    <phoneticPr fontId="3" type="noConversion"/>
  </si>
  <si>
    <t>randread_64k</t>
    <phoneticPr fontId="3" type="noConversion"/>
  </si>
  <si>
    <t>write_64k</t>
    <phoneticPr fontId="3" type="noConversion"/>
  </si>
  <si>
    <t>write_512k</t>
    <phoneticPr fontId="3" type="noConversion"/>
  </si>
  <si>
    <t>write_1m</t>
    <phoneticPr fontId="3" type="noConversion"/>
  </si>
  <si>
    <t>read_64k</t>
    <phoneticPr fontId="3" type="noConversion"/>
  </si>
  <si>
    <t>read_512k</t>
    <phoneticPr fontId="3" type="noConversion"/>
  </si>
  <si>
    <t>read_1m</t>
    <phoneticPr fontId="3" type="noConversion"/>
  </si>
  <si>
    <t>disk</t>
    <phoneticPr fontId="3" type="noConversion"/>
  </si>
  <si>
    <t>disk</t>
    <phoneticPr fontId="3" type="noConversion"/>
  </si>
  <si>
    <t>bare_disk/xfs_disk</t>
    <phoneticPr fontId="3" type="noConversion"/>
  </si>
  <si>
    <t>SSD</t>
    <phoneticPr fontId="3" type="noConversion"/>
  </si>
  <si>
    <t>HDD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</si>
</sst>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0" fontId="1" fillId="4" borderId="0" xfId="0" applyFont="1" applyFill="1"/>
    <xf numFmtId="0" fontId="0" fillId="4" borderId="1" xfId="0" applyFill="1" applyBorder="1" applyAlignment="1">
      <alignment horizontal="left"/>
    </xf>
    <xf numFmtId="0" fontId="0" fillId="0" borderId="0" xfId="0" applyAlignment="1" applyProtection="1">
      <alignment horizontal="left"/>
    </xf>
    <xf numFmtId="0" fontId="1" fillId="2" borderId="0" xfId="0" applyFont="1" applyFill="1" applyAlignment="1" applyProtection="1">
      <alignment horizontal="left"/>
    </xf>
    <xf numFmtId="0" fontId="2" fillId="0" borderId="0" xfId="0" applyFont="1" applyAlignment="1" applyProtection="1">
      <alignment horizontal="left"/>
    </xf>
    <xf numFmtId="0" fontId="0" fillId="5" borderId="0" xfId="0" applyFill="1" applyAlignment="1">
      <alignment horizontal="center" vertical="center"/>
    </xf>
    <xf numFmtId="0" fontId="2" fillId="0" borderId="0" xfId="0" applyFont="1" applyAlignment="1" applyProtection="1">
      <alignment horizont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rPr>
              <a:t>percent of IOPS </a:t>
            </a:r>
            <a:r>
              <a:rPr lang="en-US" altLang="zh-CN" sz="1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rPr>
              <a:t>improment</a:t>
            </a:r>
            <a:r>
              <a:rPr lang="en-US" altLang="zh-CN" sz="1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rPr>
              <a:t/>
            </a:r>
            <a:br>
              <a:rPr lang="en-US" altLang="zh-CN" sz="1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US" altLang="zh-CN" sz="1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rPr>
              <a:t>(bare-xfs)/xfs*100%</a:t>
            </a:r>
            <a:endParaRPr lang="zh-CN" altLang="en-US" sz="18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  <a:latin typeface="+mn-lt"/>
              <a:ea typeface="+mn-ea"/>
              <a:cs typeface="+mn-cs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'percent of iops improment'!$G$2:$R$2</c:f>
              <c:strCache>
                <c:ptCount val="12"/>
                <c:pt idx="0">
                  <c:v>randwrite_04k</c:v>
                </c:pt>
                <c:pt idx="1">
                  <c:v>randwrite_08k</c:v>
                </c:pt>
                <c:pt idx="2">
                  <c:v>randwrite_64k</c:v>
                </c:pt>
                <c:pt idx="3">
                  <c:v>randread_04k</c:v>
                </c:pt>
                <c:pt idx="4">
                  <c:v>randread_08k</c:v>
                </c:pt>
                <c:pt idx="5">
                  <c:v>randread_64k</c:v>
                </c:pt>
                <c:pt idx="6">
                  <c:v>write_64k</c:v>
                </c:pt>
                <c:pt idx="7">
                  <c:v>write_512k</c:v>
                </c:pt>
                <c:pt idx="8">
                  <c:v>write_1m</c:v>
                </c:pt>
                <c:pt idx="9">
                  <c:v>read_64k</c:v>
                </c:pt>
                <c:pt idx="10">
                  <c:v>read_512k</c:v>
                </c:pt>
                <c:pt idx="11">
                  <c:v>read_1m</c:v>
                </c:pt>
              </c:strCache>
            </c:strRef>
          </c:cat>
          <c:val>
            <c:numRef>
              <c:f>'percent of iops improment'!$G$3:$R$3</c:f>
              <c:numCache>
                <c:formatCode>General</c:formatCode>
                <c:ptCount val="12"/>
                <c:pt idx="0">
                  <c:v>88.814940303726289</c:v>
                </c:pt>
                <c:pt idx="1">
                  <c:v>60.685082410893983</c:v>
                </c:pt>
                <c:pt idx="2">
                  <c:v>0.56210439490691932</c:v>
                </c:pt>
                <c:pt idx="3">
                  <c:v>11.648209177290481</c:v>
                </c:pt>
                <c:pt idx="4">
                  <c:v>7.7344838630907651</c:v>
                </c:pt>
                <c:pt idx="5">
                  <c:v>-0.8820396952367302</c:v>
                </c:pt>
                <c:pt idx="6">
                  <c:v>60.497595062629522</c:v>
                </c:pt>
                <c:pt idx="7">
                  <c:v>82.497301687885752</c:v>
                </c:pt>
                <c:pt idx="8">
                  <c:v>83.968299198127383</c:v>
                </c:pt>
                <c:pt idx="9">
                  <c:v>0.28720141299141178</c:v>
                </c:pt>
                <c:pt idx="10">
                  <c:v>2.871138140620193</c:v>
                </c:pt>
                <c:pt idx="11">
                  <c:v>0.70365742231399009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9F-4EA2-8FFE-C801E5AB3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184496"/>
        <c:axId val="285624416"/>
      </c:barChart>
      <c:catAx>
        <c:axId val="28018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5624416"/>
        <c:crosses val="autoZero"/>
        <c:auto val="1"/>
        <c:lblAlgn val="ctr"/>
        <c:lblOffset val="100"/>
        <c:noMultiLvlLbl val="0"/>
      </c:catAx>
      <c:valAx>
        <c:axId val="28562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018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percent of IOPS improment</a:t>
            </a:r>
            <a:br>
              <a:rPr lang="en-US" altLang="zh-CN" sz="1800" b="0" i="0" baseline="0">
                <a:effectLst/>
              </a:rPr>
            </a:br>
            <a:r>
              <a:rPr lang="en-US" altLang="zh-CN" sz="1800" b="0" i="0" baseline="0">
                <a:effectLst/>
              </a:rPr>
              <a:t>(bare-xfs)/xfs*100%</a:t>
            </a:r>
            <a:endParaRPr lang="zh-CN" altLang="zh-CN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'percent of iops improment'!$G$23:$R$23</c:f>
              <c:strCache>
                <c:ptCount val="12"/>
                <c:pt idx="0">
                  <c:v>randwrite_04k</c:v>
                </c:pt>
                <c:pt idx="1">
                  <c:v>randwrite_08k</c:v>
                </c:pt>
                <c:pt idx="2">
                  <c:v>randwrite_64k</c:v>
                </c:pt>
                <c:pt idx="3">
                  <c:v>randread_04k</c:v>
                </c:pt>
                <c:pt idx="4">
                  <c:v>randread_08k</c:v>
                </c:pt>
                <c:pt idx="5">
                  <c:v>randread_64k</c:v>
                </c:pt>
                <c:pt idx="6">
                  <c:v>write_64k</c:v>
                </c:pt>
                <c:pt idx="7">
                  <c:v>write_512k</c:v>
                </c:pt>
                <c:pt idx="8">
                  <c:v>write_1m</c:v>
                </c:pt>
                <c:pt idx="9">
                  <c:v>read_64k</c:v>
                </c:pt>
                <c:pt idx="10">
                  <c:v>read_512k</c:v>
                </c:pt>
                <c:pt idx="11">
                  <c:v>read_1m</c:v>
                </c:pt>
              </c:strCache>
            </c:strRef>
          </c:cat>
          <c:val>
            <c:numRef>
              <c:f>'percent of iops improment'!$G$24:$R$24</c:f>
              <c:numCache>
                <c:formatCode>General</c:formatCode>
                <c:ptCount val="12"/>
                <c:pt idx="0">
                  <c:v>78.236848850489295</c:v>
                </c:pt>
                <c:pt idx="1">
                  <c:v>81.429489603931955</c:v>
                </c:pt>
                <c:pt idx="2">
                  <c:v>93.762994718453484</c:v>
                </c:pt>
                <c:pt idx="3">
                  <c:v>1.100964415105582</c:v>
                </c:pt>
                <c:pt idx="4">
                  <c:v>1.1788496707872236</c:v>
                </c:pt>
                <c:pt idx="5">
                  <c:v>-1.1219132173854456</c:v>
                </c:pt>
                <c:pt idx="6">
                  <c:v>2.3725690914027746</c:v>
                </c:pt>
                <c:pt idx="7">
                  <c:v>0.79315437773812747</c:v>
                </c:pt>
                <c:pt idx="8">
                  <c:v>1.9473446201693971</c:v>
                </c:pt>
                <c:pt idx="9">
                  <c:v>0.27538774328831739</c:v>
                </c:pt>
                <c:pt idx="10">
                  <c:v>0.11729108976517799</c:v>
                </c:pt>
                <c:pt idx="11">
                  <c:v>-0.28924704786104449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35-4353-8C0E-0D17592BD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8831680"/>
        <c:axId val="358830848"/>
      </c:barChart>
      <c:catAx>
        <c:axId val="35883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58830848"/>
        <c:crosses val="autoZero"/>
        <c:auto val="1"/>
        <c:lblAlgn val="ctr"/>
        <c:lblOffset val="100"/>
        <c:noMultiLvlLbl val="0"/>
      </c:catAx>
      <c:valAx>
        <c:axId val="35883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5883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percent of BW improment</a:t>
            </a:r>
            <a:br>
              <a:rPr lang="en-US" altLang="zh-CN" sz="1800" b="0" i="0" baseline="0">
                <a:effectLst/>
              </a:rPr>
            </a:br>
            <a:r>
              <a:rPr lang="en-US" altLang="zh-CN" sz="1800" b="0" i="0" baseline="0">
                <a:effectLst/>
              </a:rPr>
              <a:t>(bare-xfs)/xfs*100%</a:t>
            </a:r>
            <a:endParaRPr lang="zh-CN" altLang="zh-CN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'percent of BW improment'!$G$2:$R$2</c:f>
              <c:strCache>
                <c:ptCount val="12"/>
                <c:pt idx="0">
                  <c:v>randwrite_04k</c:v>
                </c:pt>
                <c:pt idx="1">
                  <c:v>randwrite_08k</c:v>
                </c:pt>
                <c:pt idx="2">
                  <c:v>randwrite_64k</c:v>
                </c:pt>
                <c:pt idx="3">
                  <c:v>randread_04k</c:v>
                </c:pt>
                <c:pt idx="4">
                  <c:v>randread_08k</c:v>
                </c:pt>
                <c:pt idx="5">
                  <c:v>randread_64k</c:v>
                </c:pt>
                <c:pt idx="6">
                  <c:v>write_64k</c:v>
                </c:pt>
                <c:pt idx="7">
                  <c:v>write_512k</c:v>
                </c:pt>
                <c:pt idx="8">
                  <c:v>write_1m</c:v>
                </c:pt>
                <c:pt idx="9">
                  <c:v>read_64k</c:v>
                </c:pt>
                <c:pt idx="10">
                  <c:v>read_512k</c:v>
                </c:pt>
                <c:pt idx="11">
                  <c:v>read_1m</c:v>
                </c:pt>
              </c:strCache>
            </c:strRef>
          </c:cat>
          <c:val>
            <c:numRef>
              <c:f>'percent of BW improment'!$G$3:$R$3</c:f>
              <c:numCache>
                <c:formatCode>General</c:formatCode>
                <c:ptCount val="12"/>
                <c:pt idx="0">
                  <c:v>89.013317986665868</c:v>
                </c:pt>
                <c:pt idx="1">
                  <c:v>60.588306424668623</c:v>
                </c:pt>
                <c:pt idx="2">
                  <c:v>0.48970369057459173</c:v>
                </c:pt>
                <c:pt idx="3">
                  <c:v>11.799342506845255</c:v>
                </c:pt>
                <c:pt idx="4">
                  <c:v>6.2737637654772458</c:v>
                </c:pt>
                <c:pt idx="5">
                  <c:v>0.86321845115848095</c:v>
                </c:pt>
                <c:pt idx="6">
                  <c:v>60.502914711852206</c:v>
                </c:pt>
                <c:pt idx="7">
                  <c:v>82.565588868636283</c:v>
                </c:pt>
                <c:pt idx="8">
                  <c:v>84.050520818520852</c:v>
                </c:pt>
                <c:pt idx="9">
                  <c:v>0.28741405708661388</c:v>
                </c:pt>
                <c:pt idx="10">
                  <c:v>2.8347116364799572</c:v>
                </c:pt>
                <c:pt idx="11">
                  <c:v>0.67123536678106799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11-4020-B910-2FB3D78EF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0373792"/>
        <c:axId val="425466016"/>
      </c:barChart>
      <c:catAx>
        <c:axId val="42037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25466016"/>
        <c:crosses val="autoZero"/>
        <c:auto val="1"/>
        <c:lblAlgn val="ctr"/>
        <c:lblOffset val="100"/>
        <c:noMultiLvlLbl val="0"/>
      </c:catAx>
      <c:valAx>
        <c:axId val="42546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2037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'percent of BW improment'!$G$23:$R$23</c:f>
              <c:strCache>
                <c:ptCount val="12"/>
                <c:pt idx="0">
                  <c:v>randwrite_04k</c:v>
                </c:pt>
                <c:pt idx="1">
                  <c:v>randwrite_08k</c:v>
                </c:pt>
                <c:pt idx="2">
                  <c:v>randwrite_64k</c:v>
                </c:pt>
                <c:pt idx="3">
                  <c:v>randread_04k</c:v>
                </c:pt>
                <c:pt idx="4">
                  <c:v>randread_08k</c:v>
                </c:pt>
                <c:pt idx="5">
                  <c:v>randread_64k</c:v>
                </c:pt>
                <c:pt idx="6">
                  <c:v>write_64k</c:v>
                </c:pt>
                <c:pt idx="7">
                  <c:v>write_512k</c:v>
                </c:pt>
                <c:pt idx="8">
                  <c:v>write_1m</c:v>
                </c:pt>
                <c:pt idx="9">
                  <c:v>read_64k</c:v>
                </c:pt>
                <c:pt idx="10">
                  <c:v>read_512k</c:v>
                </c:pt>
                <c:pt idx="11">
                  <c:v>read_1m</c:v>
                </c:pt>
              </c:strCache>
            </c:strRef>
          </c:cat>
          <c:val>
            <c:numRef>
              <c:f>'percent of BW improment'!$G$24:$R$24</c:f>
              <c:numCache>
                <c:formatCode>General</c:formatCode>
                <c:ptCount val="12"/>
                <c:pt idx="0">
                  <c:v>78.078623970509625</c:v>
                </c:pt>
                <c:pt idx="1">
                  <c:v>81.298663972935415</c:v>
                </c:pt>
                <c:pt idx="2">
                  <c:v>95.818607491295396</c:v>
                </c:pt>
                <c:pt idx="3">
                  <c:v>1.1058979536350522</c:v>
                </c:pt>
                <c:pt idx="4">
                  <c:v>1.1943673211206882</c:v>
                </c:pt>
                <c:pt idx="5">
                  <c:v>1.0818006951921866</c:v>
                </c:pt>
                <c:pt idx="6">
                  <c:v>2.3795337293404</c:v>
                </c:pt>
                <c:pt idx="7">
                  <c:v>0.7372959171120308</c:v>
                </c:pt>
                <c:pt idx="8">
                  <c:v>1.9267641222209366</c:v>
                </c:pt>
                <c:pt idx="9">
                  <c:v>0.25438767192087258</c:v>
                </c:pt>
                <c:pt idx="10">
                  <c:v>0.10217890802367592</c:v>
                </c:pt>
                <c:pt idx="11">
                  <c:v>-0.31802443870862551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60-4260-B740-868B296DA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0959232"/>
        <c:axId val="350960064"/>
      </c:barChart>
      <c:catAx>
        <c:axId val="35095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50960064"/>
        <c:crosses val="autoZero"/>
        <c:auto val="1"/>
        <c:lblAlgn val="ctr"/>
        <c:lblOffset val="100"/>
        <c:noMultiLvlLbl val="0"/>
      </c:catAx>
      <c:valAx>
        <c:axId val="35096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5095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3</xdr:row>
      <xdr:rowOff>166686</xdr:rowOff>
    </xdr:from>
    <xdr:to>
      <xdr:col>9</xdr:col>
      <xdr:colOff>676275</xdr:colOff>
      <xdr:row>20</xdr:row>
      <xdr:rowOff>152399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4762</xdr:colOff>
      <xdr:row>24</xdr:row>
      <xdr:rowOff>166687</xdr:rowOff>
    </xdr:from>
    <xdr:to>
      <xdr:col>9</xdr:col>
      <xdr:colOff>690562</xdr:colOff>
      <xdr:row>41</xdr:row>
      <xdr:rowOff>104775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338137</xdr:colOff>
      <xdr:row>4</xdr:row>
      <xdr:rowOff>4762</xdr:rowOff>
    </xdr:from>
    <xdr:to>
      <xdr:col>9</xdr:col>
      <xdr:colOff>681037</xdr:colOff>
      <xdr:row>20</xdr:row>
      <xdr:rowOff>4762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4762</xdr:colOff>
      <xdr:row>24</xdr:row>
      <xdr:rowOff>166687</xdr:rowOff>
    </xdr:from>
    <xdr:to>
      <xdr:col>9</xdr:col>
      <xdr:colOff>690562</xdr:colOff>
      <xdr:row>40</xdr:row>
      <xdr:rowOff>166687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X89"/>
  <sheetViews>
    <sheetView tabSelected="1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24.5" style="3" bestFit="1" customWidth="1"/>
    <col min="2" max="7" width="6.5" style="3" bestFit="1" customWidth="1"/>
    <col min="8" max="12" width="6.5" style="3" customWidth="1"/>
    <col min="13" max="13" width="5.5" style="3" bestFit="1" customWidth="1"/>
    <col min="14" max="14" width="5.5" style="3" customWidth="1"/>
    <col min="15" max="45" width="5.5" style="3" bestFit="1" customWidth="1"/>
    <col min="46" max="50" width="6.5" style="3" customWidth="1"/>
    <col min="51" max="16384" width="9" style="3"/>
  </cols>
  <sheetData>
    <row r="1" spans="1:50" s="8" customFormat="1" x14ac:dyDescent="0.15">
      <c r="H1" s="8" t="s">
        <v>43</v>
      </c>
      <c r="I1" s="8" t="s">
        <v>44</v>
      </c>
      <c r="J1" s="8" t="s">
        <v>42</v>
      </c>
      <c r="AT1" s="8" t="s">
        <v>43</v>
      </c>
      <c r="AU1" s="8" t="s">
        <v>44</v>
      </c>
      <c r="AV1" s="8" t="s">
        <v>42</v>
      </c>
    </row>
    <row r="2" spans="1:50" s="8" customFormat="1" x14ac:dyDescent="0.15">
      <c r="A2" s="9" t="s">
        <v>0</v>
      </c>
      <c r="B2" s="10" t="s">
        <v>1</v>
      </c>
      <c r="C2" s="10" t="s">
        <v>2</v>
      </c>
      <c r="D2" s="10" t="s">
        <v>1</v>
      </c>
      <c r="E2" s="10" t="s">
        <v>2</v>
      </c>
      <c r="F2" s="10" t="s">
        <v>1</v>
      </c>
      <c r="G2" s="10" t="s">
        <v>2</v>
      </c>
      <c r="H2" s="10"/>
      <c r="I2" s="10"/>
      <c r="J2" s="10"/>
      <c r="K2" s="10"/>
      <c r="L2" s="10"/>
      <c r="M2" s="10" t="s">
        <v>3</v>
      </c>
      <c r="N2" s="10" t="s">
        <v>4</v>
      </c>
      <c r="O2" s="10" t="s">
        <v>5</v>
      </c>
      <c r="P2" s="10" t="s">
        <v>6</v>
      </c>
      <c r="Q2" s="10" t="s">
        <v>7</v>
      </c>
      <c r="R2" s="10" t="s">
        <v>8</v>
      </c>
      <c r="S2" s="10" t="s">
        <v>9</v>
      </c>
      <c r="T2" s="10" t="s">
        <v>10</v>
      </c>
      <c r="U2" s="10" t="s">
        <v>11</v>
      </c>
      <c r="V2" s="10" t="s">
        <v>12</v>
      </c>
      <c r="W2" s="10" t="s">
        <v>13</v>
      </c>
      <c r="X2" s="10" t="s">
        <v>3</v>
      </c>
      <c r="Y2" s="10" t="s">
        <v>4</v>
      </c>
      <c r="Z2" s="10" t="s">
        <v>5</v>
      </c>
      <c r="AA2" s="10" t="s">
        <v>6</v>
      </c>
      <c r="AB2" s="10" t="s">
        <v>7</v>
      </c>
      <c r="AC2" s="10" t="s">
        <v>8</v>
      </c>
      <c r="AD2" s="10" t="s">
        <v>9</v>
      </c>
      <c r="AE2" s="10" t="s">
        <v>10</v>
      </c>
      <c r="AF2" s="10" t="s">
        <v>11</v>
      </c>
      <c r="AG2" s="10" t="s">
        <v>12</v>
      </c>
      <c r="AH2" s="10" t="s">
        <v>13</v>
      </c>
      <c r="AI2" s="10" t="s">
        <v>3</v>
      </c>
      <c r="AJ2" s="10" t="s">
        <v>4</v>
      </c>
      <c r="AK2" s="10" t="s">
        <v>5</v>
      </c>
      <c r="AL2" s="10" t="s">
        <v>6</v>
      </c>
      <c r="AM2" s="10" t="s">
        <v>7</v>
      </c>
      <c r="AN2" s="10" t="s">
        <v>8</v>
      </c>
      <c r="AO2" s="10" t="s">
        <v>9</v>
      </c>
      <c r="AP2" s="10" t="s">
        <v>10</v>
      </c>
      <c r="AQ2" s="10" t="s">
        <v>11</v>
      </c>
      <c r="AR2" s="10" t="s">
        <v>12</v>
      </c>
      <c r="AS2" s="10" t="s">
        <v>13</v>
      </c>
      <c r="AT2" s="10"/>
      <c r="AU2" s="10"/>
      <c r="AV2" s="10"/>
      <c r="AW2" s="10"/>
      <c r="AX2" s="10"/>
    </row>
    <row r="3" spans="1:50" x14ac:dyDescent="0.15">
      <c r="A3" s="5" t="s">
        <v>38</v>
      </c>
    </row>
    <row r="4" spans="1:50" x14ac:dyDescent="0.15">
      <c r="A4" s="4" t="s">
        <v>14</v>
      </c>
      <c r="B4" s="3">
        <v>63800</v>
      </c>
      <c r="C4" s="3">
        <v>63700</v>
      </c>
      <c r="D4" s="3">
        <v>64500</v>
      </c>
      <c r="E4" s="3">
        <v>64200</v>
      </c>
      <c r="F4" s="3">
        <v>63400</v>
      </c>
      <c r="G4" s="3">
        <v>59600</v>
      </c>
      <c r="H4" s="3">
        <f>MIN(B4:G4)</f>
        <v>59600</v>
      </c>
      <c r="I4" s="3">
        <f>MAX(B4:G4)</f>
        <v>64500</v>
      </c>
      <c r="J4" s="3">
        <f>AVERAGE(B4:G4)</f>
        <v>63200</v>
      </c>
      <c r="M4" s="3">
        <v>389</v>
      </c>
      <c r="N4" s="3">
        <v>389</v>
      </c>
      <c r="O4" s="3">
        <v>395</v>
      </c>
      <c r="P4" s="3">
        <v>395</v>
      </c>
      <c r="Q4" s="3">
        <v>418</v>
      </c>
      <c r="R4" s="3">
        <v>385</v>
      </c>
      <c r="S4" s="3">
        <v>404</v>
      </c>
      <c r="T4" s="3">
        <v>428</v>
      </c>
      <c r="U4" s="3">
        <v>425</v>
      </c>
      <c r="V4" s="3">
        <v>376</v>
      </c>
      <c r="W4" s="3">
        <v>386</v>
      </c>
      <c r="X4" s="3">
        <v>394</v>
      </c>
      <c r="Y4" s="3">
        <v>437</v>
      </c>
      <c r="Z4" s="3">
        <v>401</v>
      </c>
      <c r="AA4" s="3">
        <v>432</v>
      </c>
      <c r="AB4" s="3">
        <v>357</v>
      </c>
      <c r="AC4" s="3">
        <v>405</v>
      </c>
      <c r="AD4" s="3">
        <v>424</v>
      </c>
      <c r="AE4" s="3">
        <v>400</v>
      </c>
      <c r="AF4" s="3">
        <v>393</v>
      </c>
      <c r="AG4" s="3">
        <v>383</v>
      </c>
      <c r="AH4" s="3">
        <v>407</v>
      </c>
      <c r="AI4" s="3">
        <v>405</v>
      </c>
      <c r="AJ4" s="3">
        <v>423</v>
      </c>
      <c r="AK4" s="3">
        <v>410</v>
      </c>
      <c r="AL4" s="3">
        <v>404</v>
      </c>
      <c r="AM4" s="3">
        <v>397</v>
      </c>
      <c r="AN4" s="3">
        <v>415</v>
      </c>
      <c r="AO4" s="3">
        <v>412</v>
      </c>
      <c r="AP4" s="3">
        <v>403</v>
      </c>
      <c r="AQ4" s="3">
        <v>381</v>
      </c>
      <c r="AR4" s="3">
        <v>421</v>
      </c>
      <c r="AS4" s="3">
        <v>432</v>
      </c>
      <c r="AT4" s="3">
        <f>MIN(M4:AS4)</f>
        <v>357</v>
      </c>
      <c r="AU4" s="3">
        <f>MAX(M4:AS4)</f>
        <v>437</v>
      </c>
      <c r="AV4" s="3">
        <f>AVERAGE(M4:AS4)</f>
        <v>403.81818181818181</v>
      </c>
    </row>
    <row r="5" spans="1:50" x14ac:dyDescent="0.15">
      <c r="A5" s="1" t="s">
        <v>14</v>
      </c>
      <c r="B5" s="3">
        <v>32400</v>
      </c>
      <c r="C5" s="3">
        <v>31900</v>
      </c>
      <c r="D5" s="3">
        <v>35400</v>
      </c>
      <c r="E5" s="3">
        <v>36800</v>
      </c>
      <c r="F5" s="3">
        <v>32400</v>
      </c>
      <c r="G5" s="3">
        <v>32400</v>
      </c>
      <c r="H5" s="3">
        <f>MIN(B5:G5)</f>
        <v>31900</v>
      </c>
      <c r="I5" s="3">
        <f>MAX(B5:G5)</f>
        <v>36800</v>
      </c>
      <c r="J5" s="3">
        <f>AVERAGE(B5:G5)</f>
        <v>33550</v>
      </c>
      <c r="M5" s="3">
        <v>223</v>
      </c>
      <c r="N5" s="3">
        <v>223</v>
      </c>
      <c r="O5" s="3">
        <v>224</v>
      </c>
      <c r="P5" s="3">
        <v>225</v>
      </c>
      <c r="Q5" s="3">
        <v>235</v>
      </c>
      <c r="R5" s="3">
        <v>219</v>
      </c>
      <c r="S5" s="3">
        <v>229</v>
      </c>
      <c r="T5" s="3">
        <v>235</v>
      </c>
      <c r="U5" s="3">
        <v>234</v>
      </c>
      <c r="V5" s="3">
        <v>216</v>
      </c>
      <c r="W5" s="3">
        <v>217</v>
      </c>
      <c r="X5" s="3">
        <v>222</v>
      </c>
      <c r="Y5" s="3">
        <v>235</v>
      </c>
      <c r="Z5" s="3">
        <v>224</v>
      </c>
      <c r="AA5" s="3">
        <v>234</v>
      </c>
      <c r="AB5" s="3">
        <v>208</v>
      </c>
      <c r="AC5" s="3">
        <v>226</v>
      </c>
      <c r="AD5" s="3">
        <v>234</v>
      </c>
      <c r="AE5" s="3">
        <v>224</v>
      </c>
      <c r="AF5" s="3">
        <v>220</v>
      </c>
      <c r="AG5" s="3">
        <v>217</v>
      </c>
      <c r="AH5" s="3">
        <v>226</v>
      </c>
      <c r="AI5" s="3">
        <v>226</v>
      </c>
      <c r="AJ5" s="3">
        <v>239</v>
      </c>
      <c r="AK5" s="3">
        <v>228</v>
      </c>
      <c r="AL5" s="3">
        <v>225</v>
      </c>
      <c r="AM5" s="3">
        <v>225</v>
      </c>
      <c r="AN5" s="3">
        <v>229</v>
      </c>
      <c r="AO5" s="3">
        <v>229</v>
      </c>
      <c r="AP5" s="3">
        <v>227</v>
      </c>
      <c r="AQ5" s="3">
        <v>219</v>
      </c>
      <c r="AR5" s="3">
        <v>234</v>
      </c>
      <c r="AS5" s="3">
        <v>243</v>
      </c>
      <c r="AT5" s="3">
        <f>MIN(M5:AS5)</f>
        <v>208</v>
      </c>
      <c r="AU5" s="3">
        <f>MAX(M5:AS5)</f>
        <v>243</v>
      </c>
      <c r="AV5" s="3">
        <f>AVERAGE(M5:AS5)</f>
        <v>226.4848484848485</v>
      </c>
    </row>
    <row r="6" spans="1:50" x14ac:dyDescent="0.15">
      <c r="A6" s="6" t="s">
        <v>39</v>
      </c>
      <c r="B6" s="3">
        <f t="shared" ref="B6:G6" si="0">B4-B5</f>
        <v>31400</v>
      </c>
      <c r="C6" s="3">
        <f t="shared" si="0"/>
        <v>31800</v>
      </c>
      <c r="D6" s="3">
        <f t="shared" si="0"/>
        <v>29100</v>
      </c>
      <c r="E6" s="3">
        <f t="shared" si="0"/>
        <v>27400</v>
      </c>
      <c r="F6" s="3">
        <f t="shared" si="0"/>
        <v>31000</v>
      </c>
      <c r="G6" s="3">
        <f t="shared" si="0"/>
        <v>27200</v>
      </c>
      <c r="H6" s="3">
        <f>MIN(B6:G6)</f>
        <v>27200</v>
      </c>
      <c r="I6" s="3">
        <f>MAX(B6:G6)</f>
        <v>31800</v>
      </c>
      <c r="J6" s="3">
        <f>AVERAGE(B6:G6)</f>
        <v>29650</v>
      </c>
      <c r="M6" s="3">
        <f t="shared" ref="M6:AS6" si="1">M4-M5</f>
        <v>166</v>
      </c>
      <c r="N6" s="3">
        <f t="shared" si="1"/>
        <v>166</v>
      </c>
      <c r="O6" s="3">
        <f t="shared" si="1"/>
        <v>171</v>
      </c>
      <c r="P6" s="3">
        <f t="shared" si="1"/>
        <v>170</v>
      </c>
      <c r="Q6" s="3">
        <f t="shared" si="1"/>
        <v>183</v>
      </c>
      <c r="R6" s="3">
        <f t="shared" si="1"/>
        <v>166</v>
      </c>
      <c r="S6" s="3">
        <f t="shared" si="1"/>
        <v>175</v>
      </c>
      <c r="T6" s="3">
        <f t="shared" si="1"/>
        <v>193</v>
      </c>
      <c r="U6" s="3">
        <f t="shared" si="1"/>
        <v>191</v>
      </c>
      <c r="V6" s="3">
        <f t="shared" si="1"/>
        <v>160</v>
      </c>
      <c r="W6" s="3">
        <f t="shared" si="1"/>
        <v>169</v>
      </c>
      <c r="X6" s="3">
        <f t="shared" si="1"/>
        <v>172</v>
      </c>
      <c r="Y6" s="3">
        <f t="shared" si="1"/>
        <v>202</v>
      </c>
      <c r="Z6" s="3">
        <f t="shared" si="1"/>
        <v>177</v>
      </c>
      <c r="AA6" s="3">
        <f t="shared" si="1"/>
        <v>198</v>
      </c>
      <c r="AB6" s="3">
        <f t="shared" si="1"/>
        <v>149</v>
      </c>
      <c r="AC6" s="3">
        <f t="shared" si="1"/>
        <v>179</v>
      </c>
      <c r="AD6" s="3">
        <f t="shared" si="1"/>
        <v>190</v>
      </c>
      <c r="AE6" s="3">
        <f t="shared" si="1"/>
        <v>176</v>
      </c>
      <c r="AF6" s="3">
        <f t="shared" si="1"/>
        <v>173</v>
      </c>
      <c r="AG6" s="3">
        <f t="shared" si="1"/>
        <v>166</v>
      </c>
      <c r="AH6" s="3">
        <f t="shared" si="1"/>
        <v>181</v>
      </c>
      <c r="AI6" s="3">
        <f t="shared" si="1"/>
        <v>179</v>
      </c>
      <c r="AJ6" s="3">
        <f t="shared" si="1"/>
        <v>184</v>
      </c>
      <c r="AK6" s="3">
        <f t="shared" si="1"/>
        <v>182</v>
      </c>
      <c r="AL6" s="3">
        <f t="shared" si="1"/>
        <v>179</v>
      </c>
      <c r="AM6" s="3">
        <f t="shared" si="1"/>
        <v>172</v>
      </c>
      <c r="AN6" s="3">
        <f t="shared" si="1"/>
        <v>186</v>
      </c>
      <c r="AO6" s="3">
        <f t="shared" si="1"/>
        <v>183</v>
      </c>
      <c r="AP6" s="3">
        <f t="shared" si="1"/>
        <v>176</v>
      </c>
      <c r="AQ6" s="3">
        <f t="shared" si="1"/>
        <v>162</v>
      </c>
      <c r="AR6" s="3">
        <f t="shared" si="1"/>
        <v>187</v>
      </c>
      <c r="AS6" s="3">
        <f t="shared" si="1"/>
        <v>189</v>
      </c>
      <c r="AT6" s="3">
        <f>MIN(M6:AS6)</f>
        <v>149</v>
      </c>
      <c r="AU6" s="3">
        <f>MAX(M6:AS6)</f>
        <v>202</v>
      </c>
      <c r="AV6" s="3">
        <f>AVERAGE(M6:AS6)</f>
        <v>177.33333333333334</v>
      </c>
    </row>
    <row r="7" spans="1:50" customFormat="1" x14ac:dyDescent="0.15">
      <c r="A7" s="6" t="s">
        <v>40</v>
      </c>
      <c r="B7" s="3">
        <f t="shared" ref="B7:G7" si="2">B6/B4*100</f>
        <v>49.21630094043887</v>
      </c>
      <c r="C7" s="3">
        <f t="shared" si="2"/>
        <v>49.921507064364206</v>
      </c>
      <c r="D7" s="3">
        <f t="shared" si="2"/>
        <v>45.116279069767437</v>
      </c>
      <c r="E7" s="3">
        <f t="shared" si="2"/>
        <v>42.679127725856695</v>
      </c>
      <c r="F7" s="3">
        <f t="shared" si="2"/>
        <v>48.895899053627758</v>
      </c>
      <c r="G7" s="3">
        <f t="shared" si="2"/>
        <v>45.63758389261745</v>
      </c>
      <c r="H7" s="3">
        <f>MIN(B7:G7)</f>
        <v>42.679127725856695</v>
      </c>
      <c r="I7" s="3">
        <f>MAX(B7:G7)</f>
        <v>49.921507064364206</v>
      </c>
      <c r="J7" s="7">
        <f>AVERAGE(B7:G7)</f>
        <v>46.911116291112073</v>
      </c>
      <c r="K7" s="3"/>
      <c r="L7" s="3"/>
      <c r="M7" s="3">
        <f t="shared" ref="M7:AS7" si="3">M6/M4*100</f>
        <v>42.673521850899746</v>
      </c>
      <c r="N7" s="3">
        <f t="shared" si="3"/>
        <v>42.673521850899746</v>
      </c>
      <c r="O7" s="3">
        <f t="shared" si="3"/>
        <v>43.291139240506325</v>
      </c>
      <c r="P7" s="3">
        <f t="shared" si="3"/>
        <v>43.037974683544306</v>
      </c>
      <c r="Q7" s="3">
        <f t="shared" si="3"/>
        <v>43.779904306220097</v>
      </c>
      <c r="R7" s="3">
        <f t="shared" si="3"/>
        <v>43.116883116883116</v>
      </c>
      <c r="S7" s="3">
        <f t="shared" si="3"/>
        <v>43.316831683168317</v>
      </c>
      <c r="T7" s="3">
        <f t="shared" si="3"/>
        <v>45.093457943925237</v>
      </c>
      <c r="U7" s="3">
        <f t="shared" si="3"/>
        <v>44.941176470588232</v>
      </c>
      <c r="V7" s="3">
        <f t="shared" si="3"/>
        <v>42.553191489361701</v>
      </c>
      <c r="W7" s="3">
        <f t="shared" si="3"/>
        <v>43.782383419689118</v>
      </c>
      <c r="X7" s="3">
        <f t="shared" si="3"/>
        <v>43.654822335025379</v>
      </c>
      <c r="Y7" s="3">
        <f t="shared" si="3"/>
        <v>46.224256292906176</v>
      </c>
      <c r="Z7" s="3">
        <f t="shared" si="3"/>
        <v>44.139650872817953</v>
      </c>
      <c r="AA7" s="3">
        <f t="shared" si="3"/>
        <v>45.833333333333329</v>
      </c>
      <c r="AB7" s="3">
        <f t="shared" si="3"/>
        <v>41.736694677871149</v>
      </c>
      <c r="AC7" s="3">
        <f t="shared" si="3"/>
        <v>44.197530864197532</v>
      </c>
      <c r="AD7" s="3">
        <f t="shared" si="3"/>
        <v>44.811320754716981</v>
      </c>
      <c r="AE7" s="3">
        <f t="shared" si="3"/>
        <v>44</v>
      </c>
      <c r="AF7" s="3">
        <f t="shared" si="3"/>
        <v>44.020356234096688</v>
      </c>
      <c r="AG7" s="3">
        <f t="shared" si="3"/>
        <v>43.342036553524807</v>
      </c>
      <c r="AH7" s="3">
        <f t="shared" si="3"/>
        <v>44.471744471744472</v>
      </c>
      <c r="AI7" s="3">
        <f t="shared" si="3"/>
        <v>44.197530864197532</v>
      </c>
      <c r="AJ7" s="3">
        <f t="shared" si="3"/>
        <v>43.498817966903076</v>
      </c>
      <c r="AK7" s="3">
        <f t="shared" si="3"/>
        <v>44.390243902439025</v>
      </c>
      <c r="AL7" s="3">
        <f t="shared" si="3"/>
        <v>44.306930693069305</v>
      </c>
      <c r="AM7" s="3">
        <f t="shared" si="3"/>
        <v>43.324937027707811</v>
      </c>
      <c r="AN7" s="3">
        <f t="shared" si="3"/>
        <v>44.819277108433738</v>
      </c>
      <c r="AO7" s="3">
        <f t="shared" si="3"/>
        <v>44.417475728155345</v>
      </c>
      <c r="AP7" s="3">
        <f t="shared" si="3"/>
        <v>43.672456575682382</v>
      </c>
      <c r="AQ7" s="3">
        <f t="shared" si="3"/>
        <v>42.519685039370081</v>
      </c>
      <c r="AR7" s="3">
        <f t="shared" si="3"/>
        <v>44.418052256532064</v>
      </c>
      <c r="AS7" s="3">
        <f t="shared" si="3"/>
        <v>43.75</v>
      </c>
      <c r="AT7" s="3">
        <f>MIN(M7:AS7)</f>
        <v>41.736694677871149</v>
      </c>
      <c r="AU7" s="3">
        <f>MAX(M7:AS7)</f>
        <v>46.224256292906176</v>
      </c>
      <c r="AV7" s="7">
        <f>AVERAGE(M7:AS7)</f>
        <v>43.879004230557911</v>
      </c>
      <c r="AW7" s="3"/>
      <c r="AX7" s="3"/>
    </row>
    <row r="8" spans="1:50" customFormat="1" x14ac:dyDescent="0.15">
      <c r="A8" s="6" t="s">
        <v>41</v>
      </c>
      <c r="B8" s="3">
        <f t="shared" ref="B8:G8" si="4">B6/B5*100</f>
        <v>96.913580246913583</v>
      </c>
      <c r="C8" s="3">
        <f t="shared" si="4"/>
        <v>99.686520376175551</v>
      </c>
      <c r="D8" s="3">
        <f t="shared" si="4"/>
        <v>82.203389830508485</v>
      </c>
      <c r="E8" s="3">
        <f t="shared" si="4"/>
        <v>74.456521739130437</v>
      </c>
      <c r="F8" s="3">
        <f t="shared" si="4"/>
        <v>95.679012345679013</v>
      </c>
      <c r="G8" s="3">
        <f t="shared" si="4"/>
        <v>83.950617283950606</v>
      </c>
      <c r="H8" s="3">
        <f>MIN(B8:G8)</f>
        <v>74.456521739130437</v>
      </c>
      <c r="I8" s="3">
        <f>MAX(B8:G8)</f>
        <v>99.686520376175551</v>
      </c>
      <c r="J8" s="7">
        <f>AVERAGE(B8:G8)</f>
        <v>88.814940303726289</v>
      </c>
      <c r="K8" s="3"/>
      <c r="L8" s="3"/>
      <c r="M8" s="3">
        <f t="shared" ref="M8:AS8" si="5">M6/M5*100</f>
        <v>74.439461883408072</v>
      </c>
      <c r="N8" s="3">
        <f t="shared" si="5"/>
        <v>74.439461883408072</v>
      </c>
      <c r="O8" s="3">
        <f t="shared" si="5"/>
        <v>76.339285714285708</v>
      </c>
      <c r="P8" s="3">
        <f t="shared" si="5"/>
        <v>75.555555555555557</v>
      </c>
      <c r="Q8" s="3">
        <f t="shared" si="5"/>
        <v>77.872340425531917</v>
      </c>
      <c r="R8" s="3">
        <f t="shared" si="5"/>
        <v>75.799086757990864</v>
      </c>
      <c r="S8" s="3">
        <f t="shared" si="5"/>
        <v>76.419213973799131</v>
      </c>
      <c r="T8" s="3">
        <f t="shared" si="5"/>
        <v>82.127659574468083</v>
      </c>
      <c r="U8" s="3">
        <f t="shared" si="5"/>
        <v>81.623931623931625</v>
      </c>
      <c r="V8" s="3">
        <f t="shared" si="5"/>
        <v>74.074074074074076</v>
      </c>
      <c r="W8" s="3">
        <f t="shared" si="5"/>
        <v>77.880184331797224</v>
      </c>
      <c r="X8" s="3">
        <f t="shared" si="5"/>
        <v>77.477477477477478</v>
      </c>
      <c r="Y8" s="3">
        <f t="shared" si="5"/>
        <v>85.957446808510639</v>
      </c>
      <c r="Z8" s="3">
        <f t="shared" si="5"/>
        <v>79.017857142857139</v>
      </c>
      <c r="AA8" s="3">
        <f t="shared" si="5"/>
        <v>84.615384615384613</v>
      </c>
      <c r="AB8" s="3">
        <f t="shared" si="5"/>
        <v>71.634615384615387</v>
      </c>
      <c r="AC8" s="3">
        <f t="shared" si="5"/>
        <v>79.203539823008853</v>
      </c>
      <c r="AD8" s="3">
        <f t="shared" si="5"/>
        <v>81.196581196581192</v>
      </c>
      <c r="AE8" s="3">
        <f t="shared" si="5"/>
        <v>78.571428571428569</v>
      </c>
      <c r="AF8" s="3">
        <f t="shared" si="5"/>
        <v>78.63636363636364</v>
      </c>
      <c r="AG8" s="3">
        <f t="shared" si="5"/>
        <v>76.497695852534562</v>
      </c>
      <c r="AH8" s="3">
        <f t="shared" si="5"/>
        <v>80.088495575221245</v>
      </c>
      <c r="AI8" s="3">
        <f t="shared" si="5"/>
        <v>79.203539823008853</v>
      </c>
      <c r="AJ8" s="3">
        <f t="shared" si="5"/>
        <v>76.987447698744774</v>
      </c>
      <c r="AK8" s="3">
        <f t="shared" si="5"/>
        <v>79.824561403508781</v>
      </c>
      <c r="AL8" s="3">
        <f t="shared" si="5"/>
        <v>79.555555555555557</v>
      </c>
      <c r="AM8" s="3">
        <f t="shared" si="5"/>
        <v>76.444444444444443</v>
      </c>
      <c r="AN8" s="3">
        <f t="shared" si="5"/>
        <v>81.222707423580786</v>
      </c>
      <c r="AO8" s="3">
        <f t="shared" si="5"/>
        <v>79.91266375545851</v>
      </c>
      <c r="AP8" s="3">
        <f t="shared" si="5"/>
        <v>77.533039647577098</v>
      </c>
      <c r="AQ8" s="3">
        <f t="shared" si="5"/>
        <v>73.972602739726028</v>
      </c>
      <c r="AR8" s="3">
        <f t="shared" si="5"/>
        <v>79.914529914529922</v>
      </c>
      <c r="AS8" s="3">
        <f t="shared" si="5"/>
        <v>77.777777777777786</v>
      </c>
      <c r="AT8" s="3">
        <f>MIN(M8:AS8)</f>
        <v>71.634615384615387</v>
      </c>
      <c r="AU8" s="3">
        <f>MAX(M8:AS8)</f>
        <v>85.957446808510639</v>
      </c>
      <c r="AV8" s="7">
        <f>AVERAGE(M8:AS8)</f>
        <v>78.236848850489295</v>
      </c>
      <c r="AW8" s="3"/>
      <c r="AX8" s="3"/>
    </row>
    <row r="10" spans="1:50" x14ac:dyDescent="0.15">
      <c r="A10" s="4" t="s">
        <v>15</v>
      </c>
      <c r="B10" s="3">
        <v>42900</v>
      </c>
      <c r="C10" s="3">
        <v>43100</v>
      </c>
      <c r="D10" s="3">
        <v>44400</v>
      </c>
      <c r="E10" s="3">
        <v>42200</v>
      </c>
      <c r="F10" s="3">
        <v>41000</v>
      </c>
      <c r="G10" s="3">
        <v>41900</v>
      </c>
      <c r="H10" s="3">
        <f>MIN(B10:G10)</f>
        <v>41000</v>
      </c>
      <c r="I10" s="3">
        <f>MAX(B10:G10)</f>
        <v>44400</v>
      </c>
      <c r="J10" s="3">
        <f>AVERAGE(B10:G10)</f>
        <v>42583.333333333336</v>
      </c>
      <c r="M10" s="3">
        <v>399</v>
      </c>
      <c r="N10" s="3">
        <v>399</v>
      </c>
      <c r="O10" s="3">
        <v>403</v>
      </c>
      <c r="P10" s="3">
        <v>404</v>
      </c>
      <c r="Q10" s="3">
        <v>422</v>
      </c>
      <c r="R10" s="3">
        <v>385</v>
      </c>
      <c r="S10" s="3">
        <v>409</v>
      </c>
      <c r="T10" s="3">
        <v>431</v>
      </c>
      <c r="U10" s="3">
        <v>429</v>
      </c>
      <c r="V10" s="3">
        <v>385</v>
      </c>
      <c r="W10" s="3">
        <v>390</v>
      </c>
      <c r="X10" s="3">
        <v>395</v>
      </c>
      <c r="Y10" s="3">
        <v>442</v>
      </c>
      <c r="Z10" s="3">
        <v>405</v>
      </c>
      <c r="AA10" s="3">
        <v>434</v>
      </c>
      <c r="AB10" s="3">
        <v>362</v>
      </c>
      <c r="AC10" s="3">
        <v>403</v>
      </c>
      <c r="AD10" s="3">
        <v>431</v>
      </c>
      <c r="AE10" s="3">
        <v>404</v>
      </c>
      <c r="AF10" s="3">
        <v>391</v>
      </c>
      <c r="AG10" s="3">
        <v>386</v>
      </c>
      <c r="AH10" s="3">
        <v>409</v>
      </c>
      <c r="AI10" s="3">
        <v>409</v>
      </c>
      <c r="AJ10" s="3">
        <v>439</v>
      </c>
      <c r="AK10" s="3">
        <v>419</v>
      </c>
      <c r="AL10" s="3">
        <v>415</v>
      </c>
      <c r="AM10" s="3">
        <v>395</v>
      </c>
      <c r="AN10" s="3">
        <v>415</v>
      </c>
      <c r="AO10" s="3">
        <v>418</v>
      </c>
      <c r="AP10" s="3">
        <v>409</v>
      </c>
      <c r="AQ10" s="3">
        <v>379</v>
      </c>
      <c r="AR10" s="3">
        <v>425</v>
      </c>
      <c r="AS10" s="3">
        <v>446</v>
      </c>
      <c r="AT10" s="3">
        <f>MIN(M10:AS10)</f>
        <v>362</v>
      </c>
      <c r="AU10" s="3">
        <f>MAX(M10:AS10)</f>
        <v>446</v>
      </c>
      <c r="AV10" s="3">
        <f>AVERAGE(M10:AS10)</f>
        <v>408.69696969696969</v>
      </c>
    </row>
    <row r="11" spans="1:50" x14ac:dyDescent="0.15">
      <c r="A11" s="1" t="s">
        <v>15</v>
      </c>
      <c r="B11" s="3">
        <v>25800</v>
      </c>
      <c r="C11" s="3">
        <v>25200</v>
      </c>
      <c r="D11" s="3">
        <v>27500</v>
      </c>
      <c r="E11" s="3">
        <v>29300</v>
      </c>
      <c r="F11" s="3">
        <v>25800</v>
      </c>
      <c r="G11" s="3">
        <v>25800</v>
      </c>
      <c r="H11" s="3">
        <f>MIN(B11:G11)</f>
        <v>25200</v>
      </c>
      <c r="I11" s="3">
        <f>MAX(B11:G11)</f>
        <v>29300</v>
      </c>
      <c r="J11" s="3">
        <f>AVERAGE(B11:G11)</f>
        <v>26566.666666666668</v>
      </c>
      <c r="M11" s="3">
        <v>222</v>
      </c>
      <c r="N11" s="3">
        <v>221</v>
      </c>
      <c r="O11" s="3">
        <v>222</v>
      </c>
      <c r="P11" s="3">
        <v>224</v>
      </c>
      <c r="Q11" s="3">
        <v>232</v>
      </c>
      <c r="R11" s="3">
        <v>215</v>
      </c>
      <c r="S11" s="3">
        <v>228</v>
      </c>
      <c r="T11" s="3">
        <v>234</v>
      </c>
      <c r="U11" s="3">
        <v>233</v>
      </c>
      <c r="V11" s="3">
        <v>214</v>
      </c>
      <c r="W11" s="3">
        <v>216</v>
      </c>
      <c r="X11" s="3">
        <v>220</v>
      </c>
      <c r="Y11" s="3">
        <v>237</v>
      </c>
      <c r="Z11" s="3">
        <v>223</v>
      </c>
      <c r="AA11" s="3">
        <v>233</v>
      </c>
      <c r="AB11" s="3">
        <v>205</v>
      </c>
      <c r="AC11" s="3">
        <v>224</v>
      </c>
      <c r="AD11" s="3">
        <v>233</v>
      </c>
      <c r="AE11" s="3">
        <v>223</v>
      </c>
      <c r="AF11" s="3">
        <v>217</v>
      </c>
      <c r="AG11" s="3">
        <v>216</v>
      </c>
      <c r="AH11" s="3">
        <v>225</v>
      </c>
      <c r="AI11" s="3">
        <v>224</v>
      </c>
      <c r="AJ11" s="3">
        <v>237</v>
      </c>
      <c r="AK11" s="3">
        <v>227</v>
      </c>
      <c r="AL11" s="3">
        <v>225</v>
      </c>
      <c r="AM11" s="3">
        <v>224</v>
      </c>
      <c r="AN11" s="3">
        <v>229</v>
      </c>
      <c r="AO11" s="3">
        <v>229</v>
      </c>
      <c r="AP11" s="3">
        <v>224</v>
      </c>
      <c r="AQ11" s="3">
        <v>216</v>
      </c>
      <c r="AR11" s="3">
        <v>234</v>
      </c>
      <c r="AS11" s="3">
        <v>245</v>
      </c>
      <c r="AT11" s="3">
        <f>MIN(M11:AS11)</f>
        <v>205</v>
      </c>
      <c r="AU11" s="3">
        <f>MAX(M11:AS11)</f>
        <v>245</v>
      </c>
      <c r="AV11" s="3">
        <f>AVERAGE(M11:AS11)</f>
        <v>225.18181818181819</v>
      </c>
    </row>
    <row r="12" spans="1:50" x14ac:dyDescent="0.15">
      <c r="A12" s="6" t="s">
        <v>39</v>
      </c>
      <c r="B12" s="3">
        <f t="shared" ref="B12:G12" si="6">B10-B11</f>
        <v>17100</v>
      </c>
      <c r="C12" s="3">
        <f t="shared" si="6"/>
        <v>17900</v>
      </c>
      <c r="D12" s="3">
        <f t="shared" si="6"/>
        <v>16900</v>
      </c>
      <c r="E12" s="3">
        <f t="shared" si="6"/>
        <v>12900</v>
      </c>
      <c r="F12" s="3">
        <f t="shared" si="6"/>
        <v>15200</v>
      </c>
      <c r="G12" s="3">
        <f t="shared" si="6"/>
        <v>16100</v>
      </c>
      <c r="H12" s="3">
        <f>MIN(B12:G12)</f>
        <v>12900</v>
      </c>
      <c r="I12" s="3">
        <f>MAX(B12:G12)</f>
        <v>17900</v>
      </c>
      <c r="J12" s="3">
        <f>AVERAGE(B12:G12)</f>
        <v>16016.666666666666</v>
      </c>
      <c r="M12" s="3">
        <f t="shared" ref="M12:AS12" si="7">M10-M11</f>
        <v>177</v>
      </c>
      <c r="N12" s="3">
        <f t="shared" si="7"/>
        <v>178</v>
      </c>
      <c r="O12" s="3">
        <f t="shared" si="7"/>
        <v>181</v>
      </c>
      <c r="P12" s="3">
        <f t="shared" si="7"/>
        <v>180</v>
      </c>
      <c r="Q12" s="3">
        <f t="shared" si="7"/>
        <v>190</v>
      </c>
      <c r="R12" s="3">
        <f t="shared" si="7"/>
        <v>170</v>
      </c>
      <c r="S12" s="3">
        <f t="shared" si="7"/>
        <v>181</v>
      </c>
      <c r="T12" s="3">
        <f t="shared" si="7"/>
        <v>197</v>
      </c>
      <c r="U12" s="3">
        <f t="shared" si="7"/>
        <v>196</v>
      </c>
      <c r="V12" s="3">
        <f t="shared" si="7"/>
        <v>171</v>
      </c>
      <c r="W12" s="3">
        <f t="shared" si="7"/>
        <v>174</v>
      </c>
      <c r="X12" s="3">
        <f t="shared" si="7"/>
        <v>175</v>
      </c>
      <c r="Y12" s="3">
        <f t="shared" si="7"/>
        <v>205</v>
      </c>
      <c r="Z12" s="3">
        <f t="shared" si="7"/>
        <v>182</v>
      </c>
      <c r="AA12" s="3">
        <f t="shared" si="7"/>
        <v>201</v>
      </c>
      <c r="AB12" s="3">
        <f t="shared" si="7"/>
        <v>157</v>
      </c>
      <c r="AC12" s="3">
        <f t="shared" si="7"/>
        <v>179</v>
      </c>
      <c r="AD12" s="3">
        <f t="shared" si="7"/>
        <v>198</v>
      </c>
      <c r="AE12" s="3">
        <f t="shared" si="7"/>
        <v>181</v>
      </c>
      <c r="AF12" s="3">
        <f t="shared" si="7"/>
        <v>174</v>
      </c>
      <c r="AG12" s="3">
        <f t="shared" si="7"/>
        <v>170</v>
      </c>
      <c r="AH12" s="3">
        <f t="shared" si="7"/>
        <v>184</v>
      </c>
      <c r="AI12" s="3">
        <f t="shared" si="7"/>
        <v>185</v>
      </c>
      <c r="AJ12" s="3">
        <f t="shared" si="7"/>
        <v>202</v>
      </c>
      <c r="AK12" s="3">
        <f t="shared" si="7"/>
        <v>192</v>
      </c>
      <c r="AL12" s="3">
        <f t="shared" si="7"/>
        <v>190</v>
      </c>
      <c r="AM12" s="3">
        <f t="shared" si="7"/>
        <v>171</v>
      </c>
      <c r="AN12" s="3">
        <f t="shared" si="7"/>
        <v>186</v>
      </c>
      <c r="AO12" s="3">
        <f t="shared" si="7"/>
        <v>189</v>
      </c>
      <c r="AP12" s="3">
        <f t="shared" si="7"/>
        <v>185</v>
      </c>
      <c r="AQ12" s="3">
        <f t="shared" si="7"/>
        <v>163</v>
      </c>
      <c r="AR12" s="3">
        <f t="shared" si="7"/>
        <v>191</v>
      </c>
      <c r="AS12" s="3">
        <f t="shared" si="7"/>
        <v>201</v>
      </c>
      <c r="AT12" s="3">
        <f>MIN(M12:AS12)</f>
        <v>157</v>
      </c>
      <c r="AU12" s="3">
        <f>MAX(M12:AS12)</f>
        <v>205</v>
      </c>
      <c r="AV12" s="3">
        <f>AVERAGE(M12:AS12)</f>
        <v>183.5151515151515</v>
      </c>
    </row>
    <row r="13" spans="1:50" customFormat="1" x14ac:dyDescent="0.15">
      <c r="A13" s="6" t="s">
        <v>40</v>
      </c>
      <c r="B13" s="3">
        <f t="shared" ref="B13:G13" si="8">B12/B10*100</f>
        <v>39.86013986013986</v>
      </c>
      <c r="C13" s="3">
        <f t="shared" si="8"/>
        <v>41.531322505800468</v>
      </c>
      <c r="D13" s="3">
        <f t="shared" si="8"/>
        <v>38.063063063063062</v>
      </c>
      <c r="E13" s="3">
        <f t="shared" si="8"/>
        <v>30.568720379146917</v>
      </c>
      <c r="F13" s="3">
        <f t="shared" si="8"/>
        <v>37.073170731707314</v>
      </c>
      <c r="G13" s="3">
        <f t="shared" si="8"/>
        <v>38.424821002386636</v>
      </c>
      <c r="H13" s="3">
        <f>MIN(B13:G13)</f>
        <v>30.568720379146917</v>
      </c>
      <c r="I13" s="3">
        <f>MAX(B13:G13)</f>
        <v>41.531322505800468</v>
      </c>
      <c r="J13" s="7">
        <f>AVERAGE(B13:G13)</f>
        <v>37.586872923707375</v>
      </c>
      <c r="K13" s="3"/>
      <c r="L13" s="3"/>
      <c r="M13" s="3">
        <f t="shared" ref="M13:AS13" si="9">M12/M10*100</f>
        <v>44.360902255639097</v>
      </c>
      <c r="N13" s="3">
        <f t="shared" si="9"/>
        <v>44.611528822055135</v>
      </c>
      <c r="O13" s="3">
        <f t="shared" si="9"/>
        <v>44.913151364764268</v>
      </c>
      <c r="P13" s="3">
        <f t="shared" si="9"/>
        <v>44.554455445544555</v>
      </c>
      <c r="Q13" s="3">
        <f t="shared" si="9"/>
        <v>45.023696682464454</v>
      </c>
      <c r="R13" s="3">
        <f t="shared" si="9"/>
        <v>44.155844155844157</v>
      </c>
      <c r="S13" s="3">
        <f t="shared" si="9"/>
        <v>44.254278728606359</v>
      </c>
      <c r="T13" s="3">
        <f t="shared" si="9"/>
        <v>45.707656612529</v>
      </c>
      <c r="U13" s="3">
        <f t="shared" si="9"/>
        <v>45.687645687645691</v>
      </c>
      <c r="V13" s="3">
        <f t="shared" si="9"/>
        <v>44.415584415584412</v>
      </c>
      <c r="W13" s="3">
        <f t="shared" si="9"/>
        <v>44.61538461538462</v>
      </c>
      <c r="X13" s="3">
        <f t="shared" si="9"/>
        <v>44.303797468354425</v>
      </c>
      <c r="Y13" s="3">
        <f t="shared" si="9"/>
        <v>46.380090497737555</v>
      </c>
      <c r="Z13" s="3">
        <f t="shared" si="9"/>
        <v>44.938271604938272</v>
      </c>
      <c r="AA13" s="3">
        <f t="shared" si="9"/>
        <v>46.313364055299537</v>
      </c>
      <c r="AB13" s="3">
        <f t="shared" si="9"/>
        <v>43.370165745856355</v>
      </c>
      <c r="AC13" s="3">
        <f t="shared" si="9"/>
        <v>44.416873449131508</v>
      </c>
      <c r="AD13" s="3">
        <f t="shared" si="9"/>
        <v>45.939675174013921</v>
      </c>
      <c r="AE13" s="3">
        <f t="shared" si="9"/>
        <v>44.801980198019805</v>
      </c>
      <c r="AF13" s="3">
        <f t="shared" si="9"/>
        <v>44.501278772378519</v>
      </c>
      <c r="AG13" s="3">
        <f t="shared" si="9"/>
        <v>44.041450777202073</v>
      </c>
      <c r="AH13" s="3">
        <f t="shared" si="9"/>
        <v>44.987775061124694</v>
      </c>
      <c r="AI13" s="3">
        <f t="shared" si="9"/>
        <v>45.232273838630803</v>
      </c>
      <c r="AJ13" s="3">
        <f t="shared" si="9"/>
        <v>46.013667425968109</v>
      </c>
      <c r="AK13" s="3">
        <f t="shared" si="9"/>
        <v>45.823389021479713</v>
      </c>
      <c r="AL13" s="3">
        <f t="shared" si="9"/>
        <v>45.783132530120483</v>
      </c>
      <c r="AM13" s="3">
        <f t="shared" si="9"/>
        <v>43.291139240506325</v>
      </c>
      <c r="AN13" s="3">
        <f t="shared" si="9"/>
        <v>44.819277108433738</v>
      </c>
      <c r="AO13" s="3">
        <f t="shared" si="9"/>
        <v>45.215311004784688</v>
      </c>
      <c r="AP13" s="3">
        <f t="shared" si="9"/>
        <v>45.232273838630803</v>
      </c>
      <c r="AQ13" s="3">
        <f t="shared" si="9"/>
        <v>43.007915567282325</v>
      </c>
      <c r="AR13" s="3">
        <f t="shared" si="9"/>
        <v>44.941176470588232</v>
      </c>
      <c r="AS13" s="3">
        <f t="shared" si="9"/>
        <v>45.067264573991032</v>
      </c>
      <c r="AT13" s="3">
        <f>MIN(M13:AS13)</f>
        <v>43.007915567282325</v>
      </c>
      <c r="AU13" s="3">
        <f>MAX(M13:AS13)</f>
        <v>46.380090497737555</v>
      </c>
      <c r="AV13" s="7">
        <f>AVERAGE(M13:AS13)</f>
        <v>44.870353703349522</v>
      </c>
      <c r="AW13" s="3"/>
      <c r="AX13" s="3"/>
    </row>
    <row r="14" spans="1:50" customFormat="1" x14ac:dyDescent="0.15">
      <c r="A14" s="6" t="s">
        <v>41</v>
      </c>
      <c r="B14" s="3">
        <f t="shared" ref="B14:G14" si="10">B12/B11*100</f>
        <v>66.279069767441854</v>
      </c>
      <c r="C14" s="3">
        <f t="shared" si="10"/>
        <v>71.031746031746039</v>
      </c>
      <c r="D14" s="3">
        <f t="shared" si="10"/>
        <v>61.454545454545453</v>
      </c>
      <c r="E14" s="3">
        <f t="shared" si="10"/>
        <v>44.027303754266214</v>
      </c>
      <c r="F14" s="3">
        <f t="shared" si="10"/>
        <v>58.914728682170548</v>
      </c>
      <c r="G14" s="3">
        <f t="shared" si="10"/>
        <v>62.403100775193799</v>
      </c>
      <c r="H14" s="3">
        <f>MIN(B14:G14)</f>
        <v>44.027303754266214</v>
      </c>
      <c r="I14" s="3">
        <f>MAX(B14:G14)</f>
        <v>71.031746031746039</v>
      </c>
      <c r="J14" s="7">
        <f>AVERAGE(B14:G14)</f>
        <v>60.685082410893983</v>
      </c>
      <c r="K14" s="3"/>
      <c r="L14" s="3"/>
      <c r="M14" s="3">
        <f t="shared" ref="M14:AS14" si="11">M12/M11*100</f>
        <v>79.729729729729726</v>
      </c>
      <c r="N14" s="3">
        <f t="shared" si="11"/>
        <v>80.542986425339365</v>
      </c>
      <c r="O14" s="3">
        <f t="shared" si="11"/>
        <v>81.531531531531527</v>
      </c>
      <c r="P14" s="3">
        <f t="shared" si="11"/>
        <v>80.357142857142861</v>
      </c>
      <c r="Q14" s="3">
        <f t="shared" si="11"/>
        <v>81.896551724137936</v>
      </c>
      <c r="R14" s="3">
        <f t="shared" si="11"/>
        <v>79.069767441860463</v>
      </c>
      <c r="S14" s="3">
        <f t="shared" si="11"/>
        <v>79.385964912280699</v>
      </c>
      <c r="T14" s="3">
        <f t="shared" si="11"/>
        <v>84.188034188034194</v>
      </c>
      <c r="U14" s="3">
        <f t="shared" si="11"/>
        <v>84.12017167381974</v>
      </c>
      <c r="V14" s="3">
        <f t="shared" si="11"/>
        <v>79.90654205607477</v>
      </c>
      <c r="W14" s="3">
        <f t="shared" si="11"/>
        <v>80.555555555555557</v>
      </c>
      <c r="X14" s="3">
        <f t="shared" si="11"/>
        <v>79.545454545454547</v>
      </c>
      <c r="Y14" s="3">
        <f t="shared" si="11"/>
        <v>86.497890295358644</v>
      </c>
      <c r="Z14" s="3">
        <f t="shared" si="11"/>
        <v>81.61434977578476</v>
      </c>
      <c r="AA14" s="3">
        <f t="shared" si="11"/>
        <v>86.266094420600865</v>
      </c>
      <c r="AB14" s="3">
        <f t="shared" si="11"/>
        <v>76.585365853658544</v>
      </c>
      <c r="AC14" s="3">
        <f t="shared" si="11"/>
        <v>79.910714285714292</v>
      </c>
      <c r="AD14" s="3">
        <f t="shared" si="11"/>
        <v>84.978540772532185</v>
      </c>
      <c r="AE14" s="3">
        <f t="shared" si="11"/>
        <v>81.165919282511211</v>
      </c>
      <c r="AF14" s="3">
        <f t="shared" si="11"/>
        <v>80.184331797235018</v>
      </c>
      <c r="AG14" s="3">
        <f t="shared" si="11"/>
        <v>78.703703703703709</v>
      </c>
      <c r="AH14" s="3">
        <f t="shared" si="11"/>
        <v>81.777777777777786</v>
      </c>
      <c r="AI14" s="3">
        <f t="shared" si="11"/>
        <v>82.589285714285708</v>
      </c>
      <c r="AJ14" s="3">
        <f t="shared" si="11"/>
        <v>85.232067510548532</v>
      </c>
      <c r="AK14" s="3">
        <f t="shared" si="11"/>
        <v>84.581497797356832</v>
      </c>
      <c r="AL14" s="3">
        <f t="shared" si="11"/>
        <v>84.444444444444443</v>
      </c>
      <c r="AM14" s="3">
        <f t="shared" si="11"/>
        <v>76.339285714285708</v>
      </c>
      <c r="AN14" s="3">
        <f t="shared" si="11"/>
        <v>81.222707423580786</v>
      </c>
      <c r="AO14" s="3">
        <f t="shared" si="11"/>
        <v>82.532751091703062</v>
      </c>
      <c r="AP14" s="3">
        <f t="shared" si="11"/>
        <v>82.589285714285708</v>
      </c>
      <c r="AQ14" s="3">
        <f t="shared" si="11"/>
        <v>75.462962962962962</v>
      </c>
      <c r="AR14" s="3">
        <f t="shared" si="11"/>
        <v>81.623931623931625</v>
      </c>
      <c r="AS14" s="3">
        <f t="shared" si="11"/>
        <v>82.040816326530603</v>
      </c>
      <c r="AT14" s="3">
        <f>MIN(M14:AS14)</f>
        <v>75.462962962962962</v>
      </c>
      <c r="AU14" s="3">
        <f>MAX(M14:AS14)</f>
        <v>86.497890295358644</v>
      </c>
      <c r="AV14" s="7">
        <f>AVERAGE(M14:AS14)</f>
        <v>81.429489603931955</v>
      </c>
      <c r="AW14" s="3"/>
      <c r="AX14" s="3"/>
    </row>
    <row r="16" spans="1:50" x14ac:dyDescent="0.15">
      <c r="A16" s="4" t="s">
        <v>16</v>
      </c>
      <c r="B16" s="3">
        <v>7208</v>
      </c>
      <c r="C16" s="3">
        <v>7246</v>
      </c>
      <c r="D16" s="3">
        <v>7474</v>
      </c>
      <c r="E16" s="3">
        <v>6957</v>
      </c>
      <c r="F16" s="3">
        <v>6501</v>
      </c>
      <c r="G16" s="3">
        <v>7255</v>
      </c>
      <c r="H16" s="3">
        <f>MIN(B16:G16)</f>
        <v>6501</v>
      </c>
      <c r="I16" s="3">
        <f>MAX(B16:G16)</f>
        <v>7474</v>
      </c>
      <c r="J16" s="3">
        <f>AVERAGE(B16:G16)</f>
        <v>7106.833333333333</v>
      </c>
      <c r="M16" s="3">
        <v>401</v>
      </c>
      <c r="N16" s="3">
        <v>383</v>
      </c>
      <c r="O16" s="3">
        <v>390</v>
      </c>
      <c r="P16" s="3">
        <v>402</v>
      </c>
      <c r="Q16" s="3">
        <v>410</v>
      </c>
      <c r="R16" s="3">
        <v>375</v>
      </c>
      <c r="S16" s="3">
        <v>412</v>
      </c>
      <c r="T16" s="3">
        <v>425</v>
      </c>
      <c r="U16" s="3">
        <v>424</v>
      </c>
      <c r="V16" s="3">
        <v>396</v>
      </c>
      <c r="W16" s="3">
        <v>398</v>
      </c>
      <c r="X16" s="3">
        <v>384</v>
      </c>
      <c r="Y16" s="3">
        <v>432</v>
      </c>
      <c r="Z16" s="3">
        <v>398</v>
      </c>
      <c r="AA16" s="3">
        <v>444</v>
      </c>
      <c r="AB16" s="3">
        <v>371</v>
      </c>
      <c r="AC16" s="3">
        <v>397</v>
      </c>
      <c r="AD16" s="3">
        <v>427</v>
      </c>
      <c r="AE16" s="3">
        <v>401</v>
      </c>
      <c r="AF16" s="3">
        <v>398</v>
      </c>
      <c r="AG16" s="3">
        <v>377</v>
      </c>
      <c r="AH16" s="3">
        <v>395</v>
      </c>
      <c r="AI16" s="3">
        <v>399</v>
      </c>
      <c r="AJ16" s="3">
        <v>430</v>
      </c>
      <c r="AK16" s="3">
        <v>411</v>
      </c>
      <c r="AL16" s="3">
        <v>404</v>
      </c>
      <c r="AM16" s="3">
        <v>397</v>
      </c>
      <c r="AN16" s="3">
        <v>408</v>
      </c>
      <c r="AO16" s="3">
        <v>404</v>
      </c>
      <c r="AP16" s="3">
        <v>410</v>
      </c>
      <c r="AQ16" s="3">
        <v>376</v>
      </c>
      <c r="AR16" s="3">
        <v>408</v>
      </c>
      <c r="AS16" s="3">
        <v>450</v>
      </c>
      <c r="AT16" s="3">
        <f>MIN(M16:AS16)</f>
        <v>371</v>
      </c>
      <c r="AU16" s="3">
        <f>MAX(M16:AS16)</f>
        <v>450</v>
      </c>
      <c r="AV16" s="3">
        <f>AVERAGE(M16:AS16)</f>
        <v>404.15151515151513</v>
      </c>
    </row>
    <row r="17" spans="1:50" x14ac:dyDescent="0.15">
      <c r="A17" s="1" t="s">
        <v>16</v>
      </c>
      <c r="B17" s="3">
        <v>7019</v>
      </c>
      <c r="C17" s="3">
        <v>6801</v>
      </c>
      <c r="D17" s="3">
        <v>7098</v>
      </c>
      <c r="E17" s="3">
        <v>7515</v>
      </c>
      <c r="F17" s="3">
        <v>7001</v>
      </c>
      <c r="G17" s="3">
        <v>7016</v>
      </c>
      <c r="H17" s="3">
        <f>MIN(B17:G17)</f>
        <v>6801</v>
      </c>
      <c r="I17" s="3">
        <f>MAX(B17:G17)</f>
        <v>7515</v>
      </c>
      <c r="J17" s="3">
        <f>AVERAGE(B17:G17)</f>
        <v>7075</v>
      </c>
      <c r="M17" s="3">
        <v>207</v>
      </c>
      <c r="N17" s="3">
        <v>203</v>
      </c>
      <c r="O17" s="3">
        <v>206</v>
      </c>
      <c r="P17" s="3">
        <v>213</v>
      </c>
      <c r="Q17" s="3">
        <v>214</v>
      </c>
      <c r="R17" s="3">
        <v>200</v>
      </c>
      <c r="S17" s="3">
        <v>212</v>
      </c>
      <c r="T17" s="3">
        <v>220</v>
      </c>
      <c r="U17" s="3">
        <v>213</v>
      </c>
      <c r="V17" s="3">
        <v>203</v>
      </c>
      <c r="W17" s="3">
        <v>206</v>
      </c>
      <c r="X17" s="3">
        <v>204</v>
      </c>
      <c r="Y17" s="3">
        <v>215</v>
      </c>
      <c r="Z17" s="3">
        <v>205</v>
      </c>
      <c r="AA17" s="3">
        <v>215</v>
      </c>
      <c r="AB17" s="3">
        <v>191</v>
      </c>
      <c r="AC17" s="3">
        <v>205</v>
      </c>
      <c r="AD17" s="3">
        <v>215</v>
      </c>
      <c r="AE17" s="3">
        <v>207</v>
      </c>
      <c r="AF17" s="3">
        <v>202</v>
      </c>
      <c r="AG17" s="3">
        <v>199</v>
      </c>
      <c r="AH17" s="3">
        <v>207</v>
      </c>
      <c r="AI17" s="3">
        <v>210</v>
      </c>
      <c r="AJ17" s="3">
        <v>215</v>
      </c>
      <c r="AK17" s="3">
        <v>207</v>
      </c>
      <c r="AL17" s="3">
        <v>207</v>
      </c>
      <c r="AM17" s="3">
        <v>210</v>
      </c>
      <c r="AN17" s="3">
        <v>214</v>
      </c>
      <c r="AO17" s="3">
        <v>210</v>
      </c>
      <c r="AP17" s="3">
        <v>207</v>
      </c>
      <c r="AQ17" s="3">
        <v>204</v>
      </c>
      <c r="AR17" s="3">
        <v>211</v>
      </c>
      <c r="AS17" s="3">
        <v>224</v>
      </c>
      <c r="AT17" s="3">
        <f>MIN(M17:AS17)</f>
        <v>191</v>
      </c>
      <c r="AU17" s="3">
        <f>MAX(M17:AS17)</f>
        <v>224</v>
      </c>
      <c r="AV17" s="3">
        <f>AVERAGE(M17:AS17)</f>
        <v>208.5151515151515</v>
      </c>
    </row>
    <row r="18" spans="1:50" x14ac:dyDescent="0.15">
      <c r="A18" s="6" t="s">
        <v>39</v>
      </c>
      <c r="B18" s="3">
        <f t="shared" ref="B18:G18" si="12">B16-B17</f>
        <v>189</v>
      </c>
      <c r="C18" s="3">
        <f t="shared" si="12"/>
        <v>445</v>
      </c>
      <c r="D18" s="3">
        <f t="shared" si="12"/>
        <v>376</v>
      </c>
      <c r="E18" s="3">
        <f t="shared" si="12"/>
        <v>-558</v>
      </c>
      <c r="F18" s="3">
        <f t="shared" si="12"/>
        <v>-500</v>
      </c>
      <c r="G18" s="3">
        <f t="shared" si="12"/>
        <v>239</v>
      </c>
      <c r="H18" s="3">
        <f>MIN(B18:G18)</f>
        <v>-558</v>
      </c>
      <c r="I18" s="3">
        <f>MAX(B18:G18)</f>
        <v>445</v>
      </c>
      <c r="J18" s="3">
        <f>AVERAGE(B18:G18)</f>
        <v>31.833333333333332</v>
      </c>
      <c r="M18" s="3">
        <f t="shared" ref="M18:AS18" si="13">M16-M17</f>
        <v>194</v>
      </c>
      <c r="N18" s="3">
        <f t="shared" si="13"/>
        <v>180</v>
      </c>
      <c r="O18" s="3">
        <f t="shared" si="13"/>
        <v>184</v>
      </c>
      <c r="P18" s="3">
        <f t="shared" si="13"/>
        <v>189</v>
      </c>
      <c r="Q18" s="3">
        <f t="shared" si="13"/>
        <v>196</v>
      </c>
      <c r="R18" s="3">
        <f t="shared" si="13"/>
        <v>175</v>
      </c>
      <c r="S18" s="3">
        <f t="shared" si="13"/>
        <v>200</v>
      </c>
      <c r="T18" s="3">
        <f t="shared" si="13"/>
        <v>205</v>
      </c>
      <c r="U18" s="3">
        <f t="shared" si="13"/>
        <v>211</v>
      </c>
      <c r="V18" s="3">
        <f t="shared" si="13"/>
        <v>193</v>
      </c>
      <c r="W18" s="3">
        <f t="shared" si="13"/>
        <v>192</v>
      </c>
      <c r="X18" s="3">
        <f t="shared" si="13"/>
        <v>180</v>
      </c>
      <c r="Y18" s="3">
        <f t="shared" si="13"/>
        <v>217</v>
      </c>
      <c r="Z18" s="3">
        <f t="shared" si="13"/>
        <v>193</v>
      </c>
      <c r="AA18" s="3">
        <f t="shared" si="13"/>
        <v>229</v>
      </c>
      <c r="AB18" s="3">
        <f t="shared" si="13"/>
        <v>180</v>
      </c>
      <c r="AC18" s="3">
        <f t="shared" si="13"/>
        <v>192</v>
      </c>
      <c r="AD18" s="3">
        <f t="shared" si="13"/>
        <v>212</v>
      </c>
      <c r="AE18" s="3">
        <f t="shared" si="13"/>
        <v>194</v>
      </c>
      <c r="AF18" s="3">
        <f t="shared" si="13"/>
        <v>196</v>
      </c>
      <c r="AG18" s="3">
        <f t="shared" si="13"/>
        <v>178</v>
      </c>
      <c r="AH18" s="3">
        <f t="shared" si="13"/>
        <v>188</v>
      </c>
      <c r="AI18" s="3">
        <f t="shared" si="13"/>
        <v>189</v>
      </c>
      <c r="AJ18" s="3">
        <f t="shared" si="13"/>
        <v>215</v>
      </c>
      <c r="AK18" s="3">
        <f t="shared" si="13"/>
        <v>204</v>
      </c>
      <c r="AL18" s="3">
        <f t="shared" si="13"/>
        <v>197</v>
      </c>
      <c r="AM18" s="3">
        <f t="shared" si="13"/>
        <v>187</v>
      </c>
      <c r="AN18" s="3">
        <f t="shared" si="13"/>
        <v>194</v>
      </c>
      <c r="AO18" s="3">
        <f t="shared" si="13"/>
        <v>194</v>
      </c>
      <c r="AP18" s="3">
        <f t="shared" si="13"/>
        <v>203</v>
      </c>
      <c r="AQ18" s="3">
        <f t="shared" si="13"/>
        <v>172</v>
      </c>
      <c r="AR18" s="3">
        <f t="shared" si="13"/>
        <v>197</v>
      </c>
      <c r="AS18" s="3">
        <f t="shared" si="13"/>
        <v>226</v>
      </c>
      <c r="AT18" s="3">
        <f>MIN(M18:AS18)</f>
        <v>172</v>
      </c>
      <c r="AU18" s="3">
        <f>MAX(M18:AS18)</f>
        <v>229</v>
      </c>
      <c r="AV18" s="3">
        <f>AVERAGE(M18:AS18)</f>
        <v>195.63636363636363</v>
      </c>
    </row>
    <row r="19" spans="1:50" customFormat="1" x14ac:dyDescent="0.15">
      <c r="A19" s="6" t="s">
        <v>40</v>
      </c>
      <c r="B19" s="3">
        <f t="shared" ref="B19:G19" si="14">B18/B16*100</f>
        <v>2.6220865704772476</v>
      </c>
      <c r="C19" s="3">
        <f t="shared" si="14"/>
        <v>6.1413193486061273</v>
      </c>
      <c r="D19" s="3">
        <f t="shared" si="14"/>
        <v>5.0307733476050309</v>
      </c>
      <c r="E19" s="3">
        <f t="shared" si="14"/>
        <v>-8.0206985769728334</v>
      </c>
      <c r="F19" s="3">
        <f t="shared" si="14"/>
        <v>-7.6911244423934777</v>
      </c>
      <c r="G19" s="3">
        <f t="shared" si="14"/>
        <v>3.2942798070296346</v>
      </c>
      <c r="H19" s="3">
        <f>MIN(B19:G19)</f>
        <v>-8.0206985769728334</v>
      </c>
      <c r="I19" s="3">
        <f>MAX(B19:G19)</f>
        <v>6.1413193486061273</v>
      </c>
      <c r="J19" s="7">
        <f>AVERAGE(B19:G19)</f>
        <v>0.22943934239195496</v>
      </c>
      <c r="K19" s="3"/>
      <c r="L19" s="3"/>
      <c r="M19" s="3">
        <f t="shared" ref="M19:AS19" si="15">M18/M16*100</f>
        <v>48.379052369077307</v>
      </c>
      <c r="N19" s="3">
        <f t="shared" si="15"/>
        <v>46.997389033942561</v>
      </c>
      <c r="O19" s="3">
        <f t="shared" si="15"/>
        <v>47.179487179487175</v>
      </c>
      <c r="P19" s="3">
        <f t="shared" si="15"/>
        <v>47.014925373134332</v>
      </c>
      <c r="Q19" s="3">
        <f t="shared" si="15"/>
        <v>47.804878048780488</v>
      </c>
      <c r="R19" s="3">
        <f t="shared" si="15"/>
        <v>46.666666666666664</v>
      </c>
      <c r="S19" s="3">
        <f t="shared" si="15"/>
        <v>48.543689320388353</v>
      </c>
      <c r="T19" s="3">
        <f t="shared" si="15"/>
        <v>48.235294117647058</v>
      </c>
      <c r="U19" s="3">
        <f t="shared" si="15"/>
        <v>49.764150943396224</v>
      </c>
      <c r="V19" s="3">
        <f t="shared" si="15"/>
        <v>48.737373737373737</v>
      </c>
      <c r="W19" s="3">
        <f t="shared" si="15"/>
        <v>48.241206030150749</v>
      </c>
      <c r="X19" s="3">
        <f t="shared" si="15"/>
        <v>46.875</v>
      </c>
      <c r="Y19" s="3">
        <f t="shared" si="15"/>
        <v>50.231481481481474</v>
      </c>
      <c r="Z19" s="3">
        <f t="shared" si="15"/>
        <v>48.492462311557787</v>
      </c>
      <c r="AA19" s="3">
        <f t="shared" si="15"/>
        <v>51.576576576576571</v>
      </c>
      <c r="AB19" s="3">
        <f t="shared" si="15"/>
        <v>48.517520215633425</v>
      </c>
      <c r="AC19" s="3">
        <f t="shared" si="15"/>
        <v>48.362720403022671</v>
      </c>
      <c r="AD19" s="3">
        <f t="shared" si="15"/>
        <v>49.648711943793913</v>
      </c>
      <c r="AE19" s="3">
        <f t="shared" si="15"/>
        <v>48.379052369077307</v>
      </c>
      <c r="AF19" s="3">
        <f t="shared" si="15"/>
        <v>49.246231155778894</v>
      </c>
      <c r="AG19" s="3">
        <f t="shared" si="15"/>
        <v>47.214854111405835</v>
      </c>
      <c r="AH19" s="3">
        <f t="shared" si="15"/>
        <v>47.594936708860757</v>
      </c>
      <c r="AI19" s="3">
        <f t="shared" si="15"/>
        <v>47.368421052631575</v>
      </c>
      <c r="AJ19" s="3">
        <f t="shared" si="15"/>
        <v>50</v>
      </c>
      <c r="AK19" s="3">
        <f t="shared" si="15"/>
        <v>49.635036496350367</v>
      </c>
      <c r="AL19" s="3">
        <f t="shared" si="15"/>
        <v>48.762376237623762</v>
      </c>
      <c r="AM19" s="3">
        <f t="shared" si="15"/>
        <v>47.103274559193956</v>
      </c>
      <c r="AN19" s="3">
        <f t="shared" si="15"/>
        <v>47.549019607843135</v>
      </c>
      <c r="AO19" s="3">
        <f t="shared" si="15"/>
        <v>48.019801980198018</v>
      </c>
      <c r="AP19" s="3">
        <f t="shared" si="15"/>
        <v>49.512195121951223</v>
      </c>
      <c r="AQ19" s="3">
        <f t="shared" si="15"/>
        <v>45.744680851063826</v>
      </c>
      <c r="AR19" s="3">
        <f t="shared" si="15"/>
        <v>48.284313725490193</v>
      </c>
      <c r="AS19" s="3">
        <f t="shared" si="15"/>
        <v>50.222222222222221</v>
      </c>
      <c r="AT19" s="3">
        <f>MIN(M19:AS19)</f>
        <v>45.744680851063826</v>
      </c>
      <c r="AU19" s="3">
        <f>MAX(M19:AS19)</f>
        <v>51.576576576576571</v>
      </c>
      <c r="AV19" s="7">
        <f>AVERAGE(M19:AS19)</f>
        <v>48.360757634903081</v>
      </c>
      <c r="AW19" s="3"/>
      <c r="AX19" s="3"/>
    </row>
    <row r="20" spans="1:50" customFormat="1" x14ac:dyDescent="0.15">
      <c r="A20" s="6" t="s">
        <v>41</v>
      </c>
      <c r="B20" s="3">
        <f t="shared" ref="B20:G20" si="16">B18/B17*100</f>
        <v>2.6926912665621883</v>
      </c>
      <c r="C20" s="3">
        <f t="shared" si="16"/>
        <v>6.5431554183208354</v>
      </c>
      <c r="D20" s="3">
        <f t="shared" si="16"/>
        <v>5.2972668357283741</v>
      </c>
      <c r="E20" s="3">
        <f t="shared" si="16"/>
        <v>-7.4251497005988032</v>
      </c>
      <c r="F20" s="3">
        <f t="shared" si="16"/>
        <v>-7.1418368804456511</v>
      </c>
      <c r="G20" s="3">
        <f t="shared" si="16"/>
        <v>3.4064994298745725</v>
      </c>
      <c r="H20" s="3">
        <f>MIN(B20:G20)</f>
        <v>-7.4251497005988032</v>
      </c>
      <c r="I20" s="3">
        <f>MAX(B20:G20)</f>
        <v>6.5431554183208354</v>
      </c>
      <c r="J20" s="7">
        <f>AVERAGE(B20:G20)</f>
        <v>0.56210439490691932</v>
      </c>
      <c r="K20" s="3"/>
      <c r="L20" s="3"/>
      <c r="M20" s="3">
        <f t="shared" ref="M20:AS20" si="17">M18/M17*100</f>
        <v>93.719806763285035</v>
      </c>
      <c r="N20" s="3">
        <f t="shared" si="17"/>
        <v>88.669950738916256</v>
      </c>
      <c r="O20" s="3">
        <f t="shared" si="17"/>
        <v>89.320388349514573</v>
      </c>
      <c r="P20" s="3">
        <f t="shared" si="17"/>
        <v>88.732394366197184</v>
      </c>
      <c r="Q20" s="3">
        <f t="shared" si="17"/>
        <v>91.588785046728972</v>
      </c>
      <c r="R20" s="3">
        <f t="shared" si="17"/>
        <v>87.5</v>
      </c>
      <c r="S20" s="3">
        <f t="shared" si="17"/>
        <v>94.339622641509436</v>
      </c>
      <c r="T20" s="3">
        <f t="shared" si="17"/>
        <v>93.181818181818173</v>
      </c>
      <c r="U20" s="3">
        <f t="shared" si="17"/>
        <v>99.061032863849761</v>
      </c>
      <c r="V20" s="3">
        <f t="shared" si="17"/>
        <v>95.073891625615758</v>
      </c>
      <c r="W20" s="3">
        <f t="shared" si="17"/>
        <v>93.203883495145632</v>
      </c>
      <c r="X20" s="3">
        <f t="shared" si="17"/>
        <v>88.235294117647058</v>
      </c>
      <c r="Y20" s="3">
        <f t="shared" si="17"/>
        <v>100.93023255813954</v>
      </c>
      <c r="Z20" s="3">
        <f t="shared" si="17"/>
        <v>94.146341463414629</v>
      </c>
      <c r="AA20" s="3">
        <f t="shared" si="17"/>
        <v>106.51162790697674</v>
      </c>
      <c r="AB20" s="3">
        <f t="shared" si="17"/>
        <v>94.240837696335078</v>
      </c>
      <c r="AC20" s="3">
        <f t="shared" si="17"/>
        <v>93.658536585365866</v>
      </c>
      <c r="AD20" s="3">
        <f t="shared" si="17"/>
        <v>98.604651162790702</v>
      </c>
      <c r="AE20" s="3">
        <f t="shared" si="17"/>
        <v>93.719806763285035</v>
      </c>
      <c r="AF20" s="3">
        <f t="shared" si="17"/>
        <v>97.029702970297024</v>
      </c>
      <c r="AG20" s="3">
        <f t="shared" si="17"/>
        <v>89.447236180904525</v>
      </c>
      <c r="AH20" s="3">
        <f t="shared" si="17"/>
        <v>90.821256038647348</v>
      </c>
      <c r="AI20" s="3">
        <f t="shared" si="17"/>
        <v>90</v>
      </c>
      <c r="AJ20" s="3">
        <f t="shared" si="17"/>
        <v>100</v>
      </c>
      <c r="AK20" s="3">
        <f t="shared" si="17"/>
        <v>98.550724637681171</v>
      </c>
      <c r="AL20" s="3">
        <f t="shared" si="17"/>
        <v>95.169082125603865</v>
      </c>
      <c r="AM20" s="3">
        <f t="shared" si="17"/>
        <v>89.047619047619037</v>
      </c>
      <c r="AN20" s="3">
        <f t="shared" si="17"/>
        <v>90.654205607476641</v>
      </c>
      <c r="AO20" s="3">
        <f t="shared" si="17"/>
        <v>92.38095238095238</v>
      </c>
      <c r="AP20" s="3">
        <f t="shared" si="17"/>
        <v>98.067632850241552</v>
      </c>
      <c r="AQ20" s="3">
        <f t="shared" si="17"/>
        <v>84.313725490196077</v>
      </c>
      <c r="AR20" s="3">
        <f t="shared" si="17"/>
        <v>93.36492890995261</v>
      </c>
      <c r="AS20" s="3">
        <f t="shared" si="17"/>
        <v>100.89285714285714</v>
      </c>
      <c r="AT20" s="3">
        <f>MIN(M20:AS20)</f>
        <v>84.313725490196077</v>
      </c>
      <c r="AU20" s="3">
        <f>MAX(M20:AS20)</f>
        <v>106.51162790697674</v>
      </c>
      <c r="AV20" s="7">
        <f>AVERAGE(M20:AS20)</f>
        <v>93.762994718453484</v>
      </c>
      <c r="AW20" s="3"/>
      <c r="AX20" s="3"/>
    </row>
    <row r="26" spans="1:50" x14ac:dyDescent="0.15">
      <c r="A26" s="5" t="s">
        <v>38</v>
      </c>
    </row>
    <row r="27" spans="1:50" x14ac:dyDescent="0.15">
      <c r="A27" s="1" t="s">
        <v>20</v>
      </c>
      <c r="B27" s="3">
        <v>79000</v>
      </c>
      <c r="C27" s="3">
        <v>80200</v>
      </c>
      <c r="D27" s="3">
        <v>79700</v>
      </c>
      <c r="E27" s="3">
        <v>77700</v>
      </c>
      <c r="F27" s="3">
        <v>80100</v>
      </c>
      <c r="G27" s="3">
        <v>77000</v>
      </c>
      <c r="H27" s="3">
        <f>MIN(B27:G27)</f>
        <v>77000</v>
      </c>
      <c r="I27" s="3">
        <f>MAX(B27:G27)</f>
        <v>80200</v>
      </c>
      <c r="J27" s="3">
        <f>AVERAGE(B27:G27)</f>
        <v>78950</v>
      </c>
      <c r="M27" s="3">
        <v>514</v>
      </c>
      <c r="N27" s="3">
        <v>517</v>
      </c>
      <c r="O27" s="3">
        <v>515</v>
      </c>
      <c r="P27" s="3">
        <v>519</v>
      </c>
      <c r="Q27" s="3">
        <v>521</v>
      </c>
      <c r="R27" s="3">
        <v>516</v>
      </c>
      <c r="S27" s="3">
        <v>517</v>
      </c>
      <c r="T27" s="3">
        <v>521</v>
      </c>
      <c r="U27" s="3">
        <v>518</v>
      </c>
      <c r="V27" s="3">
        <v>491</v>
      </c>
      <c r="W27" s="3">
        <v>496</v>
      </c>
      <c r="X27" s="3">
        <v>519</v>
      </c>
      <c r="Y27" s="3">
        <v>508</v>
      </c>
      <c r="Z27" s="3">
        <v>515</v>
      </c>
      <c r="AA27" s="3">
        <v>520</v>
      </c>
      <c r="AB27" s="3">
        <v>514</v>
      </c>
      <c r="AC27" s="3">
        <v>518</v>
      </c>
      <c r="AD27" s="3">
        <v>518</v>
      </c>
      <c r="AE27" s="3">
        <v>520</v>
      </c>
      <c r="AF27" s="3">
        <v>517</v>
      </c>
      <c r="AG27" s="3">
        <v>518</v>
      </c>
      <c r="AH27" s="3">
        <v>516</v>
      </c>
      <c r="AI27" s="3">
        <v>518</v>
      </c>
      <c r="AJ27" s="3">
        <v>510</v>
      </c>
      <c r="AK27" s="3">
        <v>521</v>
      </c>
      <c r="AL27" s="3">
        <v>517</v>
      </c>
      <c r="AM27" s="3">
        <v>518</v>
      </c>
      <c r="AN27" s="3">
        <v>513</v>
      </c>
      <c r="AO27" s="3">
        <v>519</v>
      </c>
      <c r="AP27" s="3">
        <v>514</v>
      </c>
      <c r="AQ27" s="3">
        <v>517</v>
      </c>
      <c r="AR27" s="3">
        <v>519</v>
      </c>
      <c r="AS27" s="3">
        <v>500</v>
      </c>
      <c r="AT27" s="3">
        <f>MIN(M27:AS27)</f>
        <v>491</v>
      </c>
      <c r="AU27" s="3">
        <f>MAX(M27:AS27)</f>
        <v>521</v>
      </c>
      <c r="AV27" s="3">
        <f>AVERAGE(M27:AS27)</f>
        <v>514.969696969697</v>
      </c>
    </row>
    <row r="28" spans="1:50" x14ac:dyDescent="0.15">
      <c r="A28" s="1" t="s">
        <v>20</v>
      </c>
      <c r="B28" s="3">
        <v>70800</v>
      </c>
      <c r="C28" s="3">
        <v>70000</v>
      </c>
      <c r="D28" s="3">
        <v>70900</v>
      </c>
      <c r="E28" s="3">
        <v>70900</v>
      </c>
      <c r="F28" s="3">
        <v>70900</v>
      </c>
      <c r="G28" s="3">
        <v>70800</v>
      </c>
      <c r="H28" s="3">
        <f>MIN(B28:G28)</f>
        <v>70000</v>
      </c>
      <c r="I28" s="3">
        <f>MAX(B28:G28)</f>
        <v>70900</v>
      </c>
      <c r="J28" s="3">
        <f>AVERAGE(B28:G28)</f>
        <v>70716.666666666672</v>
      </c>
      <c r="M28" s="3">
        <v>508</v>
      </c>
      <c r="N28" s="3">
        <v>511</v>
      </c>
      <c r="O28" s="3">
        <v>509</v>
      </c>
      <c r="P28" s="3">
        <v>515</v>
      </c>
      <c r="Q28" s="3">
        <v>516</v>
      </c>
      <c r="R28" s="3">
        <v>510</v>
      </c>
      <c r="S28" s="3">
        <v>513</v>
      </c>
      <c r="T28" s="3">
        <v>517</v>
      </c>
      <c r="U28" s="3">
        <v>512</v>
      </c>
      <c r="V28" s="3">
        <v>485</v>
      </c>
      <c r="W28" s="3">
        <v>491</v>
      </c>
      <c r="X28" s="3">
        <v>512</v>
      </c>
      <c r="Y28" s="3">
        <v>504</v>
      </c>
      <c r="Z28" s="3">
        <v>509</v>
      </c>
      <c r="AA28" s="3">
        <v>513</v>
      </c>
      <c r="AB28" s="3">
        <v>506</v>
      </c>
      <c r="AC28" s="3">
        <v>512</v>
      </c>
      <c r="AD28" s="3">
        <v>512</v>
      </c>
      <c r="AE28" s="3">
        <v>514</v>
      </c>
      <c r="AF28" s="3">
        <v>512</v>
      </c>
      <c r="AG28" s="3">
        <v>513</v>
      </c>
      <c r="AH28" s="3">
        <v>511</v>
      </c>
      <c r="AI28" s="3">
        <v>511</v>
      </c>
      <c r="AJ28" s="3">
        <v>504</v>
      </c>
      <c r="AK28" s="3">
        <v>515</v>
      </c>
      <c r="AL28" s="3">
        <v>511</v>
      </c>
      <c r="AM28" s="3">
        <v>513</v>
      </c>
      <c r="AN28" s="3">
        <v>508</v>
      </c>
      <c r="AO28" s="3">
        <v>515</v>
      </c>
      <c r="AP28" s="3">
        <v>509</v>
      </c>
      <c r="AQ28" s="3">
        <v>511</v>
      </c>
      <c r="AR28" s="3">
        <v>512</v>
      </c>
      <c r="AS28" s="3">
        <v>495</v>
      </c>
      <c r="AT28" s="3">
        <f>MIN(M28:AS28)</f>
        <v>485</v>
      </c>
      <c r="AU28" s="3">
        <f>MAX(M28:AS28)</f>
        <v>517</v>
      </c>
      <c r="AV28" s="3">
        <f>AVERAGE(M28:AS28)</f>
        <v>509.36363636363637</v>
      </c>
    </row>
    <row r="29" spans="1:50" x14ac:dyDescent="0.15">
      <c r="A29" s="6" t="s">
        <v>39</v>
      </c>
      <c r="B29" s="3">
        <f t="shared" ref="B29:G29" si="18">B27-B28</f>
        <v>8200</v>
      </c>
      <c r="C29" s="3">
        <f t="shared" si="18"/>
        <v>10200</v>
      </c>
      <c r="D29" s="3">
        <f t="shared" si="18"/>
        <v>8800</v>
      </c>
      <c r="E29" s="3">
        <f t="shared" si="18"/>
        <v>6800</v>
      </c>
      <c r="F29" s="3">
        <f t="shared" si="18"/>
        <v>9200</v>
      </c>
      <c r="G29" s="3">
        <f t="shared" si="18"/>
        <v>6200</v>
      </c>
      <c r="H29" s="3">
        <f>MIN(B29:G29)</f>
        <v>6200</v>
      </c>
      <c r="I29" s="3">
        <f>MAX(B29:G29)</f>
        <v>10200</v>
      </c>
      <c r="J29" s="3">
        <f>AVERAGE(B29:G29)</f>
        <v>8233.3333333333339</v>
      </c>
      <c r="M29" s="3">
        <f t="shared" ref="M29:AS29" si="19">M27-M28</f>
        <v>6</v>
      </c>
      <c r="N29" s="3">
        <f t="shared" si="19"/>
        <v>6</v>
      </c>
      <c r="O29" s="3">
        <f t="shared" si="19"/>
        <v>6</v>
      </c>
      <c r="P29" s="3">
        <f t="shared" si="19"/>
        <v>4</v>
      </c>
      <c r="Q29" s="3">
        <f t="shared" si="19"/>
        <v>5</v>
      </c>
      <c r="R29" s="3">
        <f t="shared" si="19"/>
        <v>6</v>
      </c>
      <c r="S29" s="3">
        <f t="shared" si="19"/>
        <v>4</v>
      </c>
      <c r="T29" s="3">
        <f t="shared" si="19"/>
        <v>4</v>
      </c>
      <c r="U29" s="3">
        <f t="shared" si="19"/>
        <v>6</v>
      </c>
      <c r="V29" s="3">
        <f t="shared" si="19"/>
        <v>6</v>
      </c>
      <c r="W29" s="3">
        <f t="shared" si="19"/>
        <v>5</v>
      </c>
      <c r="X29" s="3">
        <f t="shared" si="19"/>
        <v>7</v>
      </c>
      <c r="Y29" s="3">
        <f t="shared" si="19"/>
        <v>4</v>
      </c>
      <c r="Z29" s="3">
        <f t="shared" si="19"/>
        <v>6</v>
      </c>
      <c r="AA29" s="3">
        <f t="shared" si="19"/>
        <v>7</v>
      </c>
      <c r="AB29" s="3">
        <f t="shared" si="19"/>
        <v>8</v>
      </c>
      <c r="AC29" s="3">
        <f t="shared" si="19"/>
        <v>6</v>
      </c>
      <c r="AD29" s="3">
        <f t="shared" si="19"/>
        <v>6</v>
      </c>
      <c r="AE29" s="3">
        <f t="shared" si="19"/>
        <v>6</v>
      </c>
      <c r="AF29" s="3">
        <f t="shared" si="19"/>
        <v>5</v>
      </c>
      <c r="AG29" s="3">
        <f t="shared" si="19"/>
        <v>5</v>
      </c>
      <c r="AH29" s="3">
        <f t="shared" si="19"/>
        <v>5</v>
      </c>
      <c r="AI29" s="3">
        <f t="shared" si="19"/>
        <v>7</v>
      </c>
      <c r="AJ29" s="3">
        <f t="shared" si="19"/>
        <v>6</v>
      </c>
      <c r="AK29" s="3">
        <f t="shared" si="19"/>
        <v>6</v>
      </c>
      <c r="AL29" s="3">
        <f t="shared" si="19"/>
        <v>6</v>
      </c>
      <c r="AM29" s="3">
        <f t="shared" si="19"/>
        <v>5</v>
      </c>
      <c r="AN29" s="3">
        <f t="shared" si="19"/>
        <v>5</v>
      </c>
      <c r="AO29" s="3">
        <f t="shared" si="19"/>
        <v>4</v>
      </c>
      <c r="AP29" s="3">
        <f t="shared" si="19"/>
        <v>5</v>
      </c>
      <c r="AQ29" s="3">
        <f t="shared" si="19"/>
        <v>6</v>
      </c>
      <c r="AR29" s="3">
        <f t="shared" si="19"/>
        <v>7</v>
      </c>
      <c r="AS29" s="3">
        <f t="shared" si="19"/>
        <v>5</v>
      </c>
      <c r="AT29" s="3">
        <f>MIN(M29:AS29)</f>
        <v>4</v>
      </c>
      <c r="AU29" s="3">
        <f>MAX(M29:AS29)</f>
        <v>8</v>
      </c>
      <c r="AV29" s="3">
        <f>AVERAGE(M29:AS29)</f>
        <v>5.6060606060606064</v>
      </c>
    </row>
    <row r="30" spans="1:50" customFormat="1" x14ac:dyDescent="0.15">
      <c r="A30" s="6" t="s">
        <v>40</v>
      </c>
      <c r="B30" s="3">
        <f t="shared" ref="B30:G30" si="20">B29/B27*100</f>
        <v>10.379746835443038</v>
      </c>
      <c r="C30" s="3">
        <f t="shared" si="20"/>
        <v>12.718204488778055</v>
      </c>
      <c r="D30" s="3">
        <f t="shared" si="20"/>
        <v>11.041405269761606</v>
      </c>
      <c r="E30" s="3">
        <f t="shared" si="20"/>
        <v>8.7516087516087513</v>
      </c>
      <c r="F30" s="3">
        <f t="shared" si="20"/>
        <v>11.485642946317103</v>
      </c>
      <c r="G30" s="3">
        <f t="shared" si="20"/>
        <v>8.0519480519480524</v>
      </c>
      <c r="H30" s="3">
        <f>MIN(B30:G30)</f>
        <v>8.0519480519480524</v>
      </c>
      <c r="I30" s="3">
        <f>MAX(B30:G30)</f>
        <v>12.718204488778055</v>
      </c>
      <c r="J30" s="7">
        <f>AVERAGE(B30:G30)</f>
        <v>10.404759390642768</v>
      </c>
      <c r="K30" s="3"/>
      <c r="L30" s="3"/>
      <c r="M30" s="3">
        <f t="shared" ref="M30:AS30" si="21">M29/M27*100</f>
        <v>1.1673151750972763</v>
      </c>
      <c r="N30" s="3">
        <f t="shared" si="21"/>
        <v>1.1605415860735011</v>
      </c>
      <c r="O30" s="3">
        <f t="shared" si="21"/>
        <v>1.1650485436893203</v>
      </c>
      <c r="P30" s="3">
        <f t="shared" si="21"/>
        <v>0.77071290944123316</v>
      </c>
      <c r="Q30" s="3">
        <f t="shared" si="21"/>
        <v>0.95969289827255266</v>
      </c>
      <c r="R30" s="3">
        <f t="shared" si="21"/>
        <v>1.1627906976744187</v>
      </c>
      <c r="S30" s="3">
        <f t="shared" si="21"/>
        <v>0.77369439071566737</v>
      </c>
      <c r="T30" s="3">
        <f t="shared" si="21"/>
        <v>0.76775431861804222</v>
      </c>
      <c r="U30" s="3">
        <f t="shared" si="21"/>
        <v>1.1583011583011582</v>
      </c>
      <c r="V30" s="3">
        <f t="shared" si="21"/>
        <v>1.2219959266802443</v>
      </c>
      <c r="W30" s="3">
        <f t="shared" si="21"/>
        <v>1.0080645161290323</v>
      </c>
      <c r="X30" s="3">
        <f t="shared" si="21"/>
        <v>1.3487475915221581</v>
      </c>
      <c r="Y30" s="3">
        <f t="shared" si="21"/>
        <v>0.78740157480314954</v>
      </c>
      <c r="Z30" s="3">
        <f t="shared" si="21"/>
        <v>1.1650485436893203</v>
      </c>
      <c r="AA30" s="3">
        <f t="shared" si="21"/>
        <v>1.3461538461538463</v>
      </c>
      <c r="AB30" s="3">
        <f t="shared" si="21"/>
        <v>1.556420233463035</v>
      </c>
      <c r="AC30" s="3">
        <f t="shared" si="21"/>
        <v>1.1583011583011582</v>
      </c>
      <c r="AD30" s="3">
        <f t="shared" si="21"/>
        <v>1.1583011583011582</v>
      </c>
      <c r="AE30" s="3">
        <f t="shared" si="21"/>
        <v>1.153846153846154</v>
      </c>
      <c r="AF30" s="3">
        <f t="shared" si="21"/>
        <v>0.96711798839458418</v>
      </c>
      <c r="AG30" s="3">
        <f t="shared" si="21"/>
        <v>0.96525096525096521</v>
      </c>
      <c r="AH30" s="3">
        <f t="shared" si="21"/>
        <v>0.96899224806201545</v>
      </c>
      <c r="AI30" s="3">
        <f t="shared" si="21"/>
        <v>1.3513513513513513</v>
      </c>
      <c r="AJ30" s="3">
        <f t="shared" si="21"/>
        <v>1.1764705882352942</v>
      </c>
      <c r="AK30" s="3">
        <f t="shared" si="21"/>
        <v>1.1516314779270633</v>
      </c>
      <c r="AL30" s="3">
        <f t="shared" si="21"/>
        <v>1.1605415860735011</v>
      </c>
      <c r="AM30" s="3">
        <f t="shared" si="21"/>
        <v>0.96525096525096521</v>
      </c>
      <c r="AN30" s="3">
        <f t="shared" si="21"/>
        <v>0.97465886939571145</v>
      </c>
      <c r="AO30" s="3">
        <f t="shared" si="21"/>
        <v>0.77071290944123316</v>
      </c>
      <c r="AP30" s="3">
        <f t="shared" si="21"/>
        <v>0.97276264591439687</v>
      </c>
      <c r="AQ30" s="3">
        <f t="shared" si="21"/>
        <v>1.1605415860735011</v>
      </c>
      <c r="AR30" s="3">
        <f t="shared" si="21"/>
        <v>1.3487475915221581</v>
      </c>
      <c r="AS30" s="3">
        <f t="shared" si="21"/>
        <v>1</v>
      </c>
      <c r="AT30" s="3">
        <f>MIN(M30:AS30)</f>
        <v>0.76775431861804222</v>
      </c>
      <c r="AU30" s="3">
        <f>MAX(M30:AS30)</f>
        <v>1.556420233463035</v>
      </c>
      <c r="AV30" s="7">
        <f>AVERAGE(M30:AS30)</f>
        <v>1.0886110046565201</v>
      </c>
      <c r="AW30" s="3"/>
      <c r="AX30" s="3"/>
    </row>
    <row r="31" spans="1:50" customFormat="1" x14ac:dyDescent="0.15">
      <c r="A31" s="6" t="s">
        <v>41</v>
      </c>
      <c r="B31" s="3">
        <f t="shared" ref="B31:G31" si="22">B29/B28*100</f>
        <v>11.581920903954803</v>
      </c>
      <c r="C31" s="3">
        <f t="shared" si="22"/>
        <v>14.571428571428571</v>
      </c>
      <c r="D31" s="3">
        <f t="shared" si="22"/>
        <v>12.411847672778562</v>
      </c>
      <c r="E31" s="3">
        <f t="shared" si="22"/>
        <v>9.5909732016925258</v>
      </c>
      <c r="F31" s="3">
        <f t="shared" si="22"/>
        <v>12.976022566995768</v>
      </c>
      <c r="G31" s="3">
        <f t="shared" si="22"/>
        <v>8.7570621468926557</v>
      </c>
      <c r="H31" s="3">
        <f>MIN(B31:G31)</f>
        <v>8.7570621468926557</v>
      </c>
      <c r="I31" s="3">
        <f>MAX(B31:G31)</f>
        <v>14.571428571428571</v>
      </c>
      <c r="J31" s="7">
        <f>AVERAGE(B31:G31)</f>
        <v>11.648209177290481</v>
      </c>
      <c r="K31" s="3"/>
      <c r="L31" s="3"/>
      <c r="M31" s="3">
        <f t="shared" ref="M31:AS31" si="23">M29/M28*100</f>
        <v>1.1811023622047243</v>
      </c>
      <c r="N31" s="3">
        <f t="shared" si="23"/>
        <v>1.1741682974559686</v>
      </c>
      <c r="O31" s="3">
        <f t="shared" si="23"/>
        <v>1.1787819253438114</v>
      </c>
      <c r="P31" s="3">
        <f t="shared" si="23"/>
        <v>0.77669902912621358</v>
      </c>
      <c r="Q31" s="3">
        <f t="shared" si="23"/>
        <v>0.96899224806201545</v>
      </c>
      <c r="R31" s="3">
        <f t="shared" si="23"/>
        <v>1.1764705882352942</v>
      </c>
      <c r="S31" s="3">
        <f t="shared" si="23"/>
        <v>0.77972709551656916</v>
      </c>
      <c r="T31" s="3">
        <f t="shared" si="23"/>
        <v>0.77369439071566737</v>
      </c>
      <c r="U31" s="3">
        <f t="shared" si="23"/>
        <v>1.171875</v>
      </c>
      <c r="V31" s="3">
        <f t="shared" si="23"/>
        <v>1.2371134020618557</v>
      </c>
      <c r="W31" s="3">
        <f t="shared" si="23"/>
        <v>1.0183299389002036</v>
      </c>
      <c r="X31" s="3">
        <f t="shared" si="23"/>
        <v>1.3671875</v>
      </c>
      <c r="Y31" s="3">
        <f t="shared" si="23"/>
        <v>0.79365079365079361</v>
      </c>
      <c r="Z31" s="3">
        <f t="shared" si="23"/>
        <v>1.1787819253438114</v>
      </c>
      <c r="AA31" s="3">
        <f t="shared" si="23"/>
        <v>1.364522417153996</v>
      </c>
      <c r="AB31" s="3">
        <f t="shared" si="23"/>
        <v>1.5810276679841897</v>
      </c>
      <c r="AC31" s="3">
        <f t="shared" si="23"/>
        <v>1.171875</v>
      </c>
      <c r="AD31" s="3">
        <f t="shared" si="23"/>
        <v>1.171875</v>
      </c>
      <c r="AE31" s="3">
        <f t="shared" si="23"/>
        <v>1.1673151750972763</v>
      </c>
      <c r="AF31" s="3">
        <f t="shared" si="23"/>
        <v>0.9765625</v>
      </c>
      <c r="AG31" s="3">
        <f t="shared" si="23"/>
        <v>0.97465886939571145</v>
      </c>
      <c r="AH31" s="3">
        <f t="shared" si="23"/>
        <v>0.97847358121330719</v>
      </c>
      <c r="AI31" s="3">
        <f t="shared" si="23"/>
        <v>1.3698630136986301</v>
      </c>
      <c r="AJ31" s="3">
        <f t="shared" si="23"/>
        <v>1.1904761904761905</v>
      </c>
      <c r="AK31" s="3">
        <f t="shared" si="23"/>
        <v>1.1650485436893203</v>
      </c>
      <c r="AL31" s="3">
        <f t="shared" si="23"/>
        <v>1.1741682974559686</v>
      </c>
      <c r="AM31" s="3">
        <f t="shared" si="23"/>
        <v>0.97465886939571145</v>
      </c>
      <c r="AN31" s="3">
        <f t="shared" si="23"/>
        <v>0.98425196850393704</v>
      </c>
      <c r="AO31" s="3">
        <f t="shared" si="23"/>
        <v>0.77669902912621358</v>
      </c>
      <c r="AP31" s="3">
        <f t="shared" si="23"/>
        <v>0.98231827111984282</v>
      </c>
      <c r="AQ31" s="3">
        <f t="shared" si="23"/>
        <v>1.1741682974559686</v>
      </c>
      <c r="AR31" s="3">
        <f t="shared" si="23"/>
        <v>1.3671875</v>
      </c>
      <c r="AS31" s="3">
        <f t="shared" si="23"/>
        <v>1.0101010101010102</v>
      </c>
      <c r="AT31" s="3">
        <f>MIN(M31:AS31)</f>
        <v>0.77369439071566737</v>
      </c>
      <c r="AU31" s="3">
        <f>MAX(M31:AS31)</f>
        <v>1.5810276679841897</v>
      </c>
      <c r="AV31" s="7">
        <f>AVERAGE(M31:AS31)</f>
        <v>1.100964415105582</v>
      </c>
      <c r="AW31" s="3"/>
      <c r="AX31" s="3"/>
    </row>
    <row r="33" spans="1:50" x14ac:dyDescent="0.15">
      <c r="A33" s="1" t="s">
        <v>21</v>
      </c>
      <c r="B33" s="3">
        <v>49100</v>
      </c>
      <c r="C33" s="3">
        <v>49100</v>
      </c>
      <c r="D33" s="3">
        <v>49400</v>
      </c>
      <c r="E33" s="3">
        <v>47500</v>
      </c>
      <c r="F33" s="3">
        <v>48700</v>
      </c>
      <c r="G33" s="3">
        <v>48900</v>
      </c>
      <c r="H33" s="3">
        <f>MIN(B33:G33)</f>
        <v>47500</v>
      </c>
      <c r="I33" s="3">
        <f>MAX(B33:G33)</f>
        <v>49400</v>
      </c>
      <c r="J33" s="3">
        <f>AVERAGE(B33:G33)</f>
        <v>48783.333333333336</v>
      </c>
      <c r="M33" s="3">
        <v>511</v>
      </c>
      <c r="N33" s="3">
        <v>513</v>
      </c>
      <c r="O33" s="3">
        <v>511</v>
      </c>
      <c r="P33" s="3">
        <v>517</v>
      </c>
      <c r="Q33" s="3">
        <v>516</v>
      </c>
      <c r="R33" s="3">
        <v>515</v>
      </c>
      <c r="S33" s="3">
        <v>514</v>
      </c>
      <c r="T33" s="3">
        <v>519</v>
      </c>
      <c r="U33" s="3">
        <v>516</v>
      </c>
      <c r="V33" s="3">
        <v>487</v>
      </c>
      <c r="W33" s="3">
        <v>494</v>
      </c>
      <c r="X33" s="3">
        <v>514</v>
      </c>
      <c r="Y33" s="3">
        <v>506</v>
      </c>
      <c r="Z33" s="3">
        <v>510</v>
      </c>
      <c r="AA33" s="3">
        <v>518</v>
      </c>
      <c r="AB33" s="3">
        <v>512</v>
      </c>
      <c r="AC33" s="3">
        <v>513</v>
      </c>
      <c r="AD33" s="3">
        <v>516</v>
      </c>
      <c r="AE33" s="3">
        <v>517</v>
      </c>
      <c r="AF33" s="3">
        <v>515</v>
      </c>
      <c r="AG33" s="3">
        <v>516</v>
      </c>
      <c r="AH33" s="3">
        <v>513</v>
      </c>
      <c r="AI33" s="3">
        <v>514</v>
      </c>
      <c r="AJ33" s="3">
        <v>507</v>
      </c>
      <c r="AK33" s="3">
        <v>518</v>
      </c>
      <c r="AL33" s="3">
        <v>513</v>
      </c>
      <c r="AM33" s="3">
        <v>518</v>
      </c>
      <c r="AN33" s="3">
        <v>512</v>
      </c>
      <c r="AO33" s="3">
        <v>518</v>
      </c>
      <c r="AP33" s="3">
        <v>511</v>
      </c>
      <c r="AQ33" s="3">
        <v>515</v>
      </c>
      <c r="AR33" s="3">
        <v>514</v>
      </c>
      <c r="AS33" s="3">
        <v>496</v>
      </c>
      <c r="AT33" s="3">
        <f>MIN(M33:AS33)</f>
        <v>487</v>
      </c>
      <c r="AU33" s="3">
        <f>MAX(M33:AS33)</f>
        <v>519</v>
      </c>
      <c r="AV33" s="3">
        <f>AVERAGE(M33:AS33)</f>
        <v>512.09090909090912</v>
      </c>
    </row>
    <row r="34" spans="1:50" x14ac:dyDescent="0.15">
      <c r="A34" s="1" t="s">
        <v>21</v>
      </c>
      <c r="B34" s="3">
        <v>45900</v>
      </c>
      <c r="C34" s="3">
        <v>45000</v>
      </c>
      <c r="D34" s="3">
        <v>45000</v>
      </c>
      <c r="E34" s="3">
        <v>45000</v>
      </c>
      <c r="F34" s="3">
        <v>45000</v>
      </c>
      <c r="G34" s="3">
        <v>45800</v>
      </c>
      <c r="H34" s="3">
        <f>MIN(B34:G34)</f>
        <v>45000</v>
      </c>
      <c r="I34" s="3">
        <f>MAX(B34:G34)</f>
        <v>45900</v>
      </c>
      <c r="J34" s="3">
        <f>AVERAGE(B34:G34)</f>
        <v>45283.333333333336</v>
      </c>
      <c r="M34" s="3">
        <v>505</v>
      </c>
      <c r="N34" s="3">
        <v>507</v>
      </c>
      <c r="O34" s="3">
        <v>507</v>
      </c>
      <c r="P34" s="3">
        <v>510</v>
      </c>
      <c r="Q34" s="3">
        <v>511</v>
      </c>
      <c r="R34" s="3">
        <v>507</v>
      </c>
      <c r="S34" s="3">
        <v>510</v>
      </c>
      <c r="T34" s="3">
        <v>511</v>
      </c>
      <c r="U34" s="3">
        <v>509</v>
      </c>
      <c r="V34" s="3">
        <v>482</v>
      </c>
      <c r="W34" s="3">
        <v>488</v>
      </c>
      <c r="X34" s="3">
        <v>508</v>
      </c>
      <c r="Y34" s="3">
        <v>501</v>
      </c>
      <c r="Z34" s="3">
        <v>505</v>
      </c>
      <c r="AA34" s="3">
        <v>513</v>
      </c>
      <c r="AB34" s="3">
        <v>505</v>
      </c>
      <c r="AC34" s="3">
        <v>506</v>
      </c>
      <c r="AD34" s="3">
        <v>511</v>
      </c>
      <c r="AE34" s="3">
        <v>512</v>
      </c>
      <c r="AF34" s="3">
        <v>507</v>
      </c>
      <c r="AG34" s="3">
        <v>509</v>
      </c>
      <c r="AH34" s="3">
        <v>507</v>
      </c>
      <c r="AI34" s="3">
        <v>508</v>
      </c>
      <c r="AJ34" s="3">
        <v>501</v>
      </c>
      <c r="AK34" s="3">
        <v>510</v>
      </c>
      <c r="AL34" s="3">
        <v>508</v>
      </c>
      <c r="AM34" s="3">
        <v>511</v>
      </c>
      <c r="AN34" s="3">
        <v>505</v>
      </c>
      <c r="AO34" s="3">
        <v>511</v>
      </c>
      <c r="AP34" s="3">
        <v>506</v>
      </c>
      <c r="AQ34" s="3">
        <v>510</v>
      </c>
      <c r="AR34" s="3">
        <v>508</v>
      </c>
      <c r="AS34" s="3">
        <v>493</v>
      </c>
      <c r="AT34" s="3">
        <f>MIN(M34:AS34)</f>
        <v>482</v>
      </c>
      <c r="AU34" s="3">
        <f>MAX(M34:AS34)</f>
        <v>513</v>
      </c>
      <c r="AV34" s="3">
        <f>AVERAGE(M34:AS34)</f>
        <v>506.12121212121212</v>
      </c>
    </row>
    <row r="35" spans="1:50" x14ac:dyDescent="0.15">
      <c r="A35" s="6" t="s">
        <v>39</v>
      </c>
      <c r="B35" s="3">
        <f t="shared" ref="B35:G35" si="24">B33-B34</f>
        <v>3200</v>
      </c>
      <c r="C35" s="3">
        <f t="shared" si="24"/>
        <v>4100</v>
      </c>
      <c r="D35" s="3">
        <f t="shared" si="24"/>
        <v>4400</v>
      </c>
      <c r="E35" s="3">
        <f t="shared" si="24"/>
        <v>2500</v>
      </c>
      <c r="F35" s="3">
        <f t="shared" si="24"/>
        <v>3700</v>
      </c>
      <c r="G35" s="3">
        <f t="shared" si="24"/>
        <v>3100</v>
      </c>
      <c r="H35" s="3">
        <f>MIN(B35:G35)</f>
        <v>2500</v>
      </c>
      <c r="I35" s="3">
        <f>MAX(B35:G35)</f>
        <v>4400</v>
      </c>
      <c r="J35" s="3">
        <f>AVERAGE(B35:G35)</f>
        <v>3500</v>
      </c>
      <c r="M35" s="3">
        <f t="shared" ref="M35:AS35" si="25">M33-M34</f>
        <v>6</v>
      </c>
      <c r="N35" s="3">
        <f t="shared" si="25"/>
        <v>6</v>
      </c>
      <c r="O35" s="3">
        <f t="shared" si="25"/>
        <v>4</v>
      </c>
      <c r="P35" s="3">
        <f t="shared" si="25"/>
        <v>7</v>
      </c>
      <c r="Q35" s="3">
        <f t="shared" si="25"/>
        <v>5</v>
      </c>
      <c r="R35" s="3">
        <f t="shared" si="25"/>
        <v>8</v>
      </c>
      <c r="S35" s="3">
        <f t="shared" si="25"/>
        <v>4</v>
      </c>
      <c r="T35" s="3">
        <f t="shared" si="25"/>
        <v>8</v>
      </c>
      <c r="U35" s="3">
        <f t="shared" si="25"/>
        <v>7</v>
      </c>
      <c r="V35" s="3">
        <f t="shared" si="25"/>
        <v>5</v>
      </c>
      <c r="W35" s="3">
        <f t="shared" si="25"/>
        <v>6</v>
      </c>
      <c r="X35" s="3">
        <f t="shared" si="25"/>
        <v>6</v>
      </c>
      <c r="Y35" s="3">
        <f t="shared" si="25"/>
        <v>5</v>
      </c>
      <c r="Z35" s="3">
        <f t="shared" si="25"/>
        <v>5</v>
      </c>
      <c r="AA35" s="3">
        <f t="shared" si="25"/>
        <v>5</v>
      </c>
      <c r="AB35" s="3">
        <f t="shared" si="25"/>
        <v>7</v>
      </c>
      <c r="AC35" s="3">
        <f t="shared" si="25"/>
        <v>7</v>
      </c>
      <c r="AD35" s="3">
        <f t="shared" si="25"/>
        <v>5</v>
      </c>
      <c r="AE35" s="3">
        <f t="shared" si="25"/>
        <v>5</v>
      </c>
      <c r="AF35" s="3">
        <f t="shared" si="25"/>
        <v>8</v>
      </c>
      <c r="AG35" s="3">
        <f t="shared" si="25"/>
        <v>7</v>
      </c>
      <c r="AH35" s="3">
        <f t="shared" si="25"/>
        <v>6</v>
      </c>
      <c r="AI35" s="3">
        <f t="shared" si="25"/>
        <v>6</v>
      </c>
      <c r="AJ35" s="3">
        <f t="shared" si="25"/>
        <v>6</v>
      </c>
      <c r="AK35" s="3">
        <f t="shared" si="25"/>
        <v>8</v>
      </c>
      <c r="AL35" s="3">
        <f t="shared" si="25"/>
        <v>5</v>
      </c>
      <c r="AM35" s="3">
        <f t="shared" si="25"/>
        <v>7</v>
      </c>
      <c r="AN35" s="3">
        <f t="shared" si="25"/>
        <v>7</v>
      </c>
      <c r="AO35" s="3">
        <f t="shared" si="25"/>
        <v>7</v>
      </c>
      <c r="AP35" s="3">
        <f t="shared" si="25"/>
        <v>5</v>
      </c>
      <c r="AQ35" s="3">
        <f t="shared" si="25"/>
        <v>5</v>
      </c>
      <c r="AR35" s="3">
        <f t="shared" si="25"/>
        <v>6</v>
      </c>
      <c r="AS35" s="3">
        <f t="shared" si="25"/>
        <v>3</v>
      </c>
      <c r="AT35" s="3">
        <f>MIN(M35:AS35)</f>
        <v>3</v>
      </c>
      <c r="AU35" s="3">
        <f>MAX(M35:AS35)</f>
        <v>8</v>
      </c>
      <c r="AV35" s="3">
        <f>AVERAGE(M35:AS35)</f>
        <v>5.9696969696969697</v>
      </c>
    </row>
    <row r="36" spans="1:50" customFormat="1" x14ac:dyDescent="0.15">
      <c r="A36" s="6" t="s">
        <v>40</v>
      </c>
      <c r="B36" s="3">
        <f t="shared" ref="B36:G36" si="26">B35/B33*100</f>
        <v>6.517311608961303</v>
      </c>
      <c r="C36" s="3">
        <f t="shared" si="26"/>
        <v>8.350305498981669</v>
      </c>
      <c r="D36" s="3">
        <f t="shared" si="26"/>
        <v>8.9068825910931171</v>
      </c>
      <c r="E36" s="3">
        <f t="shared" si="26"/>
        <v>5.2631578947368416</v>
      </c>
      <c r="F36" s="3">
        <f t="shared" si="26"/>
        <v>7.5975359342915816</v>
      </c>
      <c r="G36" s="3">
        <f t="shared" si="26"/>
        <v>6.3394683026584868</v>
      </c>
      <c r="H36" s="3">
        <f>MIN(B36:G36)</f>
        <v>5.2631578947368416</v>
      </c>
      <c r="I36" s="3">
        <f>MAX(B36:G36)</f>
        <v>8.9068825910931171</v>
      </c>
      <c r="J36" s="7">
        <f>AVERAGE(B36:G36)</f>
        <v>7.1624436384538344</v>
      </c>
      <c r="K36" s="3"/>
      <c r="L36" s="3"/>
      <c r="M36" s="3">
        <f t="shared" ref="M36:AS36" si="27">M35/M33*100</f>
        <v>1.1741682974559686</v>
      </c>
      <c r="N36" s="3">
        <f t="shared" si="27"/>
        <v>1.1695906432748537</v>
      </c>
      <c r="O36" s="3">
        <f t="shared" si="27"/>
        <v>0.78277886497064575</v>
      </c>
      <c r="P36" s="3">
        <f t="shared" si="27"/>
        <v>1.3539651837524178</v>
      </c>
      <c r="Q36" s="3">
        <f t="shared" si="27"/>
        <v>0.96899224806201545</v>
      </c>
      <c r="R36" s="3">
        <f t="shared" si="27"/>
        <v>1.5533980582524272</v>
      </c>
      <c r="S36" s="3">
        <f t="shared" si="27"/>
        <v>0.77821011673151752</v>
      </c>
      <c r="T36" s="3">
        <f t="shared" si="27"/>
        <v>1.5414258188824663</v>
      </c>
      <c r="U36" s="3">
        <f t="shared" si="27"/>
        <v>1.3565891472868217</v>
      </c>
      <c r="V36" s="3">
        <f t="shared" si="27"/>
        <v>1.0266940451745379</v>
      </c>
      <c r="W36" s="3">
        <f t="shared" si="27"/>
        <v>1.214574898785425</v>
      </c>
      <c r="X36" s="3">
        <f t="shared" si="27"/>
        <v>1.1673151750972763</v>
      </c>
      <c r="Y36" s="3">
        <f t="shared" si="27"/>
        <v>0.98814229249011865</v>
      </c>
      <c r="Z36" s="3">
        <f t="shared" si="27"/>
        <v>0.98039215686274506</v>
      </c>
      <c r="AA36" s="3">
        <f t="shared" si="27"/>
        <v>0.96525096525096521</v>
      </c>
      <c r="AB36" s="3">
        <f t="shared" si="27"/>
        <v>1.3671875</v>
      </c>
      <c r="AC36" s="3">
        <f t="shared" si="27"/>
        <v>1.364522417153996</v>
      </c>
      <c r="AD36" s="3">
        <f t="shared" si="27"/>
        <v>0.96899224806201545</v>
      </c>
      <c r="AE36" s="3">
        <f t="shared" si="27"/>
        <v>0.96711798839458418</v>
      </c>
      <c r="AF36" s="3">
        <f t="shared" si="27"/>
        <v>1.5533980582524272</v>
      </c>
      <c r="AG36" s="3">
        <f t="shared" si="27"/>
        <v>1.3565891472868217</v>
      </c>
      <c r="AH36" s="3">
        <f t="shared" si="27"/>
        <v>1.1695906432748537</v>
      </c>
      <c r="AI36" s="3">
        <f t="shared" si="27"/>
        <v>1.1673151750972763</v>
      </c>
      <c r="AJ36" s="3">
        <f t="shared" si="27"/>
        <v>1.1834319526627219</v>
      </c>
      <c r="AK36" s="3">
        <f t="shared" si="27"/>
        <v>1.5444015444015444</v>
      </c>
      <c r="AL36" s="3">
        <f t="shared" si="27"/>
        <v>0.97465886939571145</v>
      </c>
      <c r="AM36" s="3">
        <f t="shared" si="27"/>
        <v>1.3513513513513513</v>
      </c>
      <c r="AN36" s="3">
        <f t="shared" si="27"/>
        <v>1.3671875</v>
      </c>
      <c r="AO36" s="3">
        <f t="shared" si="27"/>
        <v>1.3513513513513513</v>
      </c>
      <c r="AP36" s="3">
        <f t="shared" si="27"/>
        <v>0.97847358121330719</v>
      </c>
      <c r="AQ36" s="3">
        <f t="shared" si="27"/>
        <v>0.97087378640776689</v>
      </c>
      <c r="AR36" s="3">
        <f t="shared" si="27"/>
        <v>1.1673151750972763</v>
      </c>
      <c r="AS36" s="3">
        <f t="shared" si="27"/>
        <v>0.60483870967741937</v>
      </c>
      <c r="AT36" s="3">
        <f>MIN(M36:AS36)</f>
        <v>0.60483870967741937</v>
      </c>
      <c r="AU36" s="3">
        <f>MAX(M36:AS36)</f>
        <v>1.5533980582524272</v>
      </c>
      <c r="AV36" s="7">
        <f>AVERAGE(M36:AS36)</f>
        <v>1.1645480276185041</v>
      </c>
      <c r="AW36" s="3"/>
      <c r="AX36" s="3"/>
    </row>
    <row r="37" spans="1:50" customFormat="1" x14ac:dyDescent="0.15">
      <c r="A37" s="6" t="s">
        <v>41</v>
      </c>
      <c r="B37" s="3">
        <f t="shared" ref="B37:G37" si="28">B35/B34*100</f>
        <v>6.9716775599128544</v>
      </c>
      <c r="C37" s="3">
        <f t="shared" si="28"/>
        <v>9.1111111111111107</v>
      </c>
      <c r="D37" s="3">
        <f t="shared" si="28"/>
        <v>9.7777777777777786</v>
      </c>
      <c r="E37" s="3">
        <f t="shared" si="28"/>
        <v>5.5555555555555554</v>
      </c>
      <c r="F37" s="3">
        <f t="shared" si="28"/>
        <v>8.2222222222222232</v>
      </c>
      <c r="G37" s="3">
        <f t="shared" si="28"/>
        <v>6.7685589519650664</v>
      </c>
      <c r="H37" s="3">
        <f>MIN(B37:G37)</f>
        <v>5.5555555555555554</v>
      </c>
      <c r="I37" s="3">
        <f>MAX(B37:G37)</f>
        <v>9.7777777777777786</v>
      </c>
      <c r="J37" s="7">
        <f>AVERAGE(B37:G37)</f>
        <v>7.7344838630907651</v>
      </c>
      <c r="K37" s="3"/>
      <c r="L37" s="3"/>
      <c r="M37" s="3">
        <f t="shared" ref="M37:AS37" si="29">M35/M34*100</f>
        <v>1.1881188118811881</v>
      </c>
      <c r="N37" s="3">
        <f t="shared" si="29"/>
        <v>1.1834319526627219</v>
      </c>
      <c r="O37" s="3">
        <f t="shared" si="29"/>
        <v>0.78895463510848129</v>
      </c>
      <c r="P37" s="3">
        <f t="shared" si="29"/>
        <v>1.3725490196078431</v>
      </c>
      <c r="Q37" s="3">
        <f t="shared" si="29"/>
        <v>0.97847358121330719</v>
      </c>
      <c r="R37" s="3">
        <f t="shared" si="29"/>
        <v>1.5779092702169626</v>
      </c>
      <c r="S37" s="3">
        <f t="shared" si="29"/>
        <v>0.78431372549019607</v>
      </c>
      <c r="T37" s="3">
        <f t="shared" si="29"/>
        <v>1.5655577299412915</v>
      </c>
      <c r="U37" s="3">
        <f t="shared" si="29"/>
        <v>1.37524557956778</v>
      </c>
      <c r="V37" s="3">
        <f t="shared" si="29"/>
        <v>1.0373443983402488</v>
      </c>
      <c r="W37" s="3">
        <f t="shared" si="29"/>
        <v>1.2295081967213115</v>
      </c>
      <c r="X37" s="3">
        <f t="shared" si="29"/>
        <v>1.1811023622047243</v>
      </c>
      <c r="Y37" s="3">
        <f t="shared" si="29"/>
        <v>0.99800399201596801</v>
      </c>
      <c r="Z37" s="3">
        <f t="shared" si="29"/>
        <v>0.99009900990099009</v>
      </c>
      <c r="AA37" s="3">
        <f t="shared" si="29"/>
        <v>0.97465886939571145</v>
      </c>
      <c r="AB37" s="3">
        <f t="shared" si="29"/>
        <v>1.3861386138613863</v>
      </c>
      <c r="AC37" s="3">
        <f t="shared" si="29"/>
        <v>1.383399209486166</v>
      </c>
      <c r="AD37" s="3">
        <f t="shared" si="29"/>
        <v>0.97847358121330719</v>
      </c>
      <c r="AE37" s="3">
        <f t="shared" si="29"/>
        <v>0.9765625</v>
      </c>
      <c r="AF37" s="3">
        <f t="shared" si="29"/>
        <v>1.5779092702169626</v>
      </c>
      <c r="AG37" s="3">
        <f t="shared" si="29"/>
        <v>1.37524557956778</v>
      </c>
      <c r="AH37" s="3">
        <f t="shared" si="29"/>
        <v>1.1834319526627219</v>
      </c>
      <c r="AI37" s="3">
        <f t="shared" si="29"/>
        <v>1.1811023622047243</v>
      </c>
      <c r="AJ37" s="3">
        <f t="shared" si="29"/>
        <v>1.1976047904191618</v>
      </c>
      <c r="AK37" s="3">
        <f t="shared" si="29"/>
        <v>1.5686274509803921</v>
      </c>
      <c r="AL37" s="3">
        <f t="shared" si="29"/>
        <v>0.98425196850393704</v>
      </c>
      <c r="AM37" s="3">
        <f t="shared" si="29"/>
        <v>1.3698630136986301</v>
      </c>
      <c r="AN37" s="3">
        <f t="shared" si="29"/>
        <v>1.3861386138613863</v>
      </c>
      <c r="AO37" s="3">
        <f t="shared" si="29"/>
        <v>1.3698630136986301</v>
      </c>
      <c r="AP37" s="3">
        <f t="shared" si="29"/>
        <v>0.98814229249011865</v>
      </c>
      <c r="AQ37" s="3">
        <f t="shared" si="29"/>
        <v>0.98039215686274506</v>
      </c>
      <c r="AR37" s="3">
        <f t="shared" si="29"/>
        <v>1.1811023622047243</v>
      </c>
      <c r="AS37" s="3">
        <f t="shared" si="29"/>
        <v>0.6085192697768762</v>
      </c>
      <c r="AT37" s="3">
        <f>MIN(M37:AS37)</f>
        <v>0.6085192697768762</v>
      </c>
      <c r="AU37" s="3">
        <f>MAX(M37:AS37)</f>
        <v>1.5779092702169626</v>
      </c>
      <c r="AV37" s="7">
        <f>AVERAGE(M37:AS37)</f>
        <v>1.1788496707872236</v>
      </c>
      <c r="AW37" s="3"/>
      <c r="AX37" s="3"/>
    </row>
    <row r="39" spans="1:50" x14ac:dyDescent="0.15">
      <c r="A39" s="1" t="s">
        <v>22</v>
      </c>
      <c r="B39" s="3">
        <v>8192</v>
      </c>
      <c r="C39" s="3">
        <v>8139</v>
      </c>
      <c r="D39" s="3">
        <v>7937</v>
      </c>
      <c r="E39" s="3">
        <v>7949</v>
      </c>
      <c r="F39" s="3">
        <v>8039</v>
      </c>
      <c r="G39" s="3">
        <v>8106</v>
      </c>
      <c r="H39" s="3">
        <f>MIN(B39:G39)</f>
        <v>7937</v>
      </c>
      <c r="I39" s="3">
        <f>MAX(B39:G39)</f>
        <v>8192</v>
      </c>
      <c r="J39" s="3">
        <f>AVERAGE(B39:G39)</f>
        <v>8060.333333333333</v>
      </c>
      <c r="M39" s="3">
        <v>461</v>
      </c>
      <c r="N39" s="3">
        <v>462</v>
      </c>
      <c r="O39" s="3">
        <v>459</v>
      </c>
      <c r="P39" s="3">
        <v>464</v>
      </c>
      <c r="Q39" s="3">
        <v>466</v>
      </c>
      <c r="R39" s="3">
        <v>460</v>
      </c>
      <c r="S39" s="3">
        <v>461</v>
      </c>
      <c r="T39" s="3">
        <v>459</v>
      </c>
      <c r="U39" s="3">
        <v>450</v>
      </c>
      <c r="V39" s="3">
        <v>440</v>
      </c>
      <c r="W39" s="3">
        <v>442</v>
      </c>
      <c r="X39" s="3">
        <v>461</v>
      </c>
      <c r="Y39" s="3">
        <v>455</v>
      </c>
      <c r="Z39" s="3">
        <v>458</v>
      </c>
      <c r="AA39" s="3">
        <v>465</v>
      </c>
      <c r="AB39" s="3">
        <v>453</v>
      </c>
      <c r="AC39" s="3">
        <v>459</v>
      </c>
      <c r="AD39" s="3">
        <v>458</v>
      </c>
      <c r="AE39" s="3">
        <v>465</v>
      </c>
      <c r="AF39" s="3">
        <v>466</v>
      </c>
      <c r="AG39" s="3">
        <v>467</v>
      </c>
      <c r="AH39" s="3">
        <v>457</v>
      </c>
      <c r="AI39" s="3">
        <v>461</v>
      </c>
      <c r="AJ39" s="3">
        <v>454</v>
      </c>
      <c r="AK39" s="3">
        <v>463</v>
      </c>
      <c r="AL39" s="3">
        <v>458</v>
      </c>
      <c r="AM39" s="3">
        <v>468</v>
      </c>
      <c r="AN39" s="3">
        <v>457</v>
      </c>
      <c r="AO39" s="3">
        <v>459</v>
      </c>
      <c r="AP39" s="3">
        <v>460</v>
      </c>
      <c r="AQ39" s="3">
        <v>462</v>
      </c>
      <c r="AR39" s="3">
        <v>458</v>
      </c>
      <c r="AS39" s="3">
        <v>452</v>
      </c>
      <c r="AT39" s="3">
        <f>MIN(M39:AS39)</f>
        <v>440</v>
      </c>
      <c r="AU39" s="3">
        <f>MAX(M39:AS39)</f>
        <v>468</v>
      </c>
      <c r="AV39" s="3">
        <f>AVERAGE(M39:AS39)</f>
        <v>458.78787878787881</v>
      </c>
    </row>
    <row r="40" spans="1:50" x14ac:dyDescent="0.15">
      <c r="A40" s="1" t="s">
        <v>22</v>
      </c>
      <c r="B40" s="3">
        <v>8224</v>
      </c>
      <c r="C40" s="3">
        <v>8212</v>
      </c>
      <c r="D40" s="3">
        <v>8114</v>
      </c>
      <c r="E40" s="3">
        <v>8000</v>
      </c>
      <c r="F40" s="3">
        <v>8015</v>
      </c>
      <c r="G40" s="3">
        <v>8229</v>
      </c>
      <c r="H40" s="3">
        <f>MIN(B40:G40)</f>
        <v>8000</v>
      </c>
      <c r="I40" s="3">
        <f>MAX(B40:G40)</f>
        <v>8229</v>
      </c>
      <c r="J40" s="3">
        <f>AVERAGE(B40:G40)</f>
        <v>8132.333333333333</v>
      </c>
      <c r="M40" s="3">
        <v>464</v>
      </c>
      <c r="N40" s="3">
        <v>465</v>
      </c>
      <c r="O40" s="3">
        <v>463</v>
      </c>
      <c r="P40" s="3">
        <v>471</v>
      </c>
      <c r="Q40" s="3">
        <v>471</v>
      </c>
      <c r="R40" s="3">
        <v>469</v>
      </c>
      <c r="S40" s="3">
        <v>470</v>
      </c>
      <c r="T40" s="3">
        <v>475</v>
      </c>
      <c r="U40" s="3">
        <v>462</v>
      </c>
      <c r="V40" s="3">
        <v>439</v>
      </c>
      <c r="W40" s="3">
        <v>446</v>
      </c>
      <c r="X40" s="3">
        <v>457</v>
      </c>
      <c r="Y40" s="3">
        <v>465</v>
      </c>
      <c r="Z40" s="3">
        <v>458</v>
      </c>
      <c r="AA40" s="3">
        <v>471</v>
      </c>
      <c r="AB40" s="3">
        <v>454</v>
      </c>
      <c r="AC40" s="3">
        <v>464</v>
      </c>
      <c r="AD40" s="3">
        <v>467</v>
      </c>
      <c r="AE40" s="3">
        <v>472</v>
      </c>
      <c r="AF40" s="3">
        <v>469</v>
      </c>
      <c r="AG40" s="3">
        <v>462</v>
      </c>
      <c r="AH40" s="3">
        <v>462</v>
      </c>
      <c r="AI40" s="3">
        <v>466</v>
      </c>
      <c r="AJ40" s="3">
        <v>461</v>
      </c>
      <c r="AK40" s="3">
        <v>470</v>
      </c>
      <c r="AL40" s="3">
        <v>465</v>
      </c>
      <c r="AM40" s="3">
        <v>470</v>
      </c>
      <c r="AN40" s="3">
        <v>469</v>
      </c>
      <c r="AO40" s="3">
        <v>468</v>
      </c>
      <c r="AP40" s="3">
        <v>462</v>
      </c>
      <c r="AQ40" s="3">
        <v>467</v>
      </c>
      <c r="AR40" s="3">
        <v>463</v>
      </c>
      <c r="AS40" s="3">
        <v>456</v>
      </c>
      <c r="AT40" s="3">
        <f>MIN(M40:AS40)</f>
        <v>439</v>
      </c>
      <c r="AU40" s="3">
        <f>MAX(M40:AS40)</f>
        <v>475</v>
      </c>
      <c r="AV40" s="3">
        <f>AVERAGE(M40:AS40)</f>
        <v>464.030303030303</v>
      </c>
    </row>
    <row r="41" spans="1:50" x14ac:dyDescent="0.15">
      <c r="A41" s="6" t="s">
        <v>39</v>
      </c>
      <c r="B41" s="3">
        <f t="shared" ref="B41:G41" si="30">B39-B40</f>
        <v>-32</v>
      </c>
      <c r="C41" s="3">
        <f t="shared" si="30"/>
        <v>-73</v>
      </c>
      <c r="D41" s="3">
        <f t="shared" si="30"/>
        <v>-177</v>
      </c>
      <c r="E41" s="3">
        <f t="shared" si="30"/>
        <v>-51</v>
      </c>
      <c r="F41" s="3">
        <f t="shared" si="30"/>
        <v>24</v>
      </c>
      <c r="G41" s="3">
        <f t="shared" si="30"/>
        <v>-123</v>
      </c>
      <c r="H41" s="3">
        <f>MIN(B41:G41)</f>
        <v>-177</v>
      </c>
      <c r="I41" s="3">
        <f>MAX(B41:G41)</f>
        <v>24</v>
      </c>
      <c r="J41" s="3">
        <f>AVERAGE(B41:G41)</f>
        <v>-72</v>
      </c>
      <c r="M41" s="3">
        <f t="shared" ref="M41:AS41" si="31">M39-M40</f>
        <v>-3</v>
      </c>
      <c r="N41" s="3">
        <f t="shared" si="31"/>
        <v>-3</v>
      </c>
      <c r="O41" s="3">
        <f t="shared" si="31"/>
        <v>-4</v>
      </c>
      <c r="P41" s="3">
        <f t="shared" si="31"/>
        <v>-7</v>
      </c>
      <c r="Q41" s="3">
        <f t="shared" si="31"/>
        <v>-5</v>
      </c>
      <c r="R41" s="3">
        <f t="shared" si="31"/>
        <v>-9</v>
      </c>
      <c r="S41" s="3">
        <f t="shared" si="31"/>
        <v>-9</v>
      </c>
      <c r="T41" s="3">
        <f t="shared" si="31"/>
        <v>-16</v>
      </c>
      <c r="U41" s="3">
        <f t="shared" si="31"/>
        <v>-12</v>
      </c>
      <c r="V41" s="3">
        <f t="shared" si="31"/>
        <v>1</v>
      </c>
      <c r="W41" s="3">
        <f t="shared" si="31"/>
        <v>-4</v>
      </c>
      <c r="X41" s="3">
        <f t="shared" si="31"/>
        <v>4</v>
      </c>
      <c r="Y41" s="3">
        <f t="shared" si="31"/>
        <v>-10</v>
      </c>
      <c r="Z41" s="3">
        <f t="shared" si="31"/>
        <v>0</v>
      </c>
      <c r="AA41" s="3">
        <f t="shared" si="31"/>
        <v>-6</v>
      </c>
      <c r="AB41" s="3">
        <f t="shared" si="31"/>
        <v>-1</v>
      </c>
      <c r="AC41" s="3">
        <f t="shared" si="31"/>
        <v>-5</v>
      </c>
      <c r="AD41" s="3">
        <f t="shared" si="31"/>
        <v>-9</v>
      </c>
      <c r="AE41" s="3">
        <f t="shared" si="31"/>
        <v>-7</v>
      </c>
      <c r="AF41" s="3">
        <f t="shared" si="31"/>
        <v>-3</v>
      </c>
      <c r="AG41" s="3">
        <f t="shared" si="31"/>
        <v>5</v>
      </c>
      <c r="AH41" s="3">
        <f t="shared" si="31"/>
        <v>-5</v>
      </c>
      <c r="AI41" s="3">
        <f t="shared" si="31"/>
        <v>-5</v>
      </c>
      <c r="AJ41" s="3">
        <f t="shared" si="31"/>
        <v>-7</v>
      </c>
      <c r="AK41" s="3">
        <f t="shared" si="31"/>
        <v>-7</v>
      </c>
      <c r="AL41" s="3">
        <f t="shared" si="31"/>
        <v>-7</v>
      </c>
      <c r="AM41" s="3">
        <f t="shared" si="31"/>
        <v>-2</v>
      </c>
      <c r="AN41" s="3">
        <f t="shared" si="31"/>
        <v>-12</v>
      </c>
      <c r="AO41" s="3">
        <f t="shared" si="31"/>
        <v>-9</v>
      </c>
      <c r="AP41" s="3">
        <f t="shared" si="31"/>
        <v>-2</v>
      </c>
      <c r="AQ41" s="3">
        <f t="shared" si="31"/>
        <v>-5</v>
      </c>
      <c r="AR41" s="3">
        <f t="shared" si="31"/>
        <v>-5</v>
      </c>
      <c r="AS41" s="3">
        <f t="shared" si="31"/>
        <v>-4</v>
      </c>
      <c r="AT41" s="3">
        <f>MIN(M41:AS41)</f>
        <v>-16</v>
      </c>
      <c r="AU41" s="3">
        <f>MAX(M41:AS41)</f>
        <v>5</v>
      </c>
      <c r="AV41" s="3">
        <f>AVERAGE(M41:AS41)</f>
        <v>-5.2424242424242422</v>
      </c>
    </row>
    <row r="42" spans="1:50" customFormat="1" x14ac:dyDescent="0.15">
      <c r="A42" s="6" t="s">
        <v>40</v>
      </c>
      <c r="B42" s="3">
        <f t="shared" ref="B42:G42" si="32">B41/B39*100</f>
        <v>-0.390625</v>
      </c>
      <c r="C42" s="3">
        <f t="shared" si="32"/>
        <v>-0.89691608305688653</v>
      </c>
      <c r="D42" s="3">
        <f t="shared" si="32"/>
        <v>-2.2300617361723574</v>
      </c>
      <c r="E42" s="3">
        <f t="shared" si="32"/>
        <v>-0.64159013712416657</v>
      </c>
      <c r="F42" s="3">
        <f t="shared" si="32"/>
        <v>0.29854459509889286</v>
      </c>
      <c r="G42" s="3">
        <f t="shared" si="32"/>
        <v>-1.5173945225758698</v>
      </c>
      <c r="H42" s="3">
        <f>MIN(B42:G42)</f>
        <v>-2.2300617361723574</v>
      </c>
      <c r="I42" s="3">
        <f>MAX(B42:G42)</f>
        <v>0.29854459509889286</v>
      </c>
      <c r="J42" s="7">
        <f>AVERAGE(B42:G42)</f>
        <v>-0.89634048063839777</v>
      </c>
      <c r="K42" s="3"/>
      <c r="L42" s="3"/>
      <c r="M42" s="3">
        <f t="shared" ref="M42:AS42" si="33">M41/M39*100</f>
        <v>-0.65075921908893708</v>
      </c>
      <c r="N42" s="3">
        <f t="shared" si="33"/>
        <v>-0.64935064935064934</v>
      </c>
      <c r="O42" s="3">
        <f t="shared" si="33"/>
        <v>-0.8714596949891068</v>
      </c>
      <c r="P42" s="3">
        <f t="shared" si="33"/>
        <v>-1.5086206896551724</v>
      </c>
      <c r="Q42" s="3">
        <f t="shared" si="33"/>
        <v>-1.0729613733905579</v>
      </c>
      <c r="R42" s="3">
        <f t="shared" si="33"/>
        <v>-1.956521739130435</v>
      </c>
      <c r="S42" s="3">
        <f t="shared" si="33"/>
        <v>-1.9522776572668112</v>
      </c>
      <c r="T42" s="3">
        <f t="shared" si="33"/>
        <v>-3.4858387799564272</v>
      </c>
      <c r="U42" s="3">
        <f t="shared" si="33"/>
        <v>-2.666666666666667</v>
      </c>
      <c r="V42" s="3">
        <f t="shared" si="33"/>
        <v>0.22727272727272727</v>
      </c>
      <c r="W42" s="3">
        <f t="shared" si="33"/>
        <v>-0.90497737556561098</v>
      </c>
      <c r="X42" s="3">
        <f t="shared" si="33"/>
        <v>0.86767895878524948</v>
      </c>
      <c r="Y42" s="3">
        <f t="shared" si="33"/>
        <v>-2.197802197802198</v>
      </c>
      <c r="Z42" s="3">
        <f t="shared" si="33"/>
        <v>0</v>
      </c>
      <c r="AA42" s="3">
        <f t="shared" si="33"/>
        <v>-1.2903225806451613</v>
      </c>
      <c r="AB42" s="3">
        <f t="shared" si="33"/>
        <v>-0.22075055187637968</v>
      </c>
      <c r="AC42" s="3">
        <f t="shared" si="33"/>
        <v>-1.0893246187363834</v>
      </c>
      <c r="AD42" s="3">
        <f t="shared" si="33"/>
        <v>-1.9650655021834063</v>
      </c>
      <c r="AE42" s="3">
        <f t="shared" si="33"/>
        <v>-1.5053763440860215</v>
      </c>
      <c r="AF42" s="3">
        <f t="shared" si="33"/>
        <v>-0.64377682403433478</v>
      </c>
      <c r="AG42" s="3">
        <f t="shared" si="33"/>
        <v>1.070663811563169</v>
      </c>
      <c r="AH42" s="3">
        <f t="shared" si="33"/>
        <v>-1.0940919037199124</v>
      </c>
      <c r="AI42" s="3">
        <f t="shared" si="33"/>
        <v>-1.0845986984815619</v>
      </c>
      <c r="AJ42" s="3">
        <f t="shared" si="33"/>
        <v>-1.5418502202643172</v>
      </c>
      <c r="AK42" s="3">
        <f t="shared" si="33"/>
        <v>-1.5118790496760259</v>
      </c>
      <c r="AL42" s="3">
        <f t="shared" si="33"/>
        <v>-1.5283842794759825</v>
      </c>
      <c r="AM42" s="3">
        <f t="shared" si="33"/>
        <v>-0.42735042735042739</v>
      </c>
      <c r="AN42" s="3">
        <f t="shared" si="33"/>
        <v>-2.6258205689277898</v>
      </c>
      <c r="AO42" s="3">
        <f t="shared" si="33"/>
        <v>-1.9607843137254901</v>
      </c>
      <c r="AP42" s="3">
        <f t="shared" si="33"/>
        <v>-0.43478260869565216</v>
      </c>
      <c r="AQ42" s="3">
        <f t="shared" si="33"/>
        <v>-1.0822510822510822</v>
      </c>
      <c r="AR42" s="3">
        <f t="shared" si="33"/>
        <v>-1.0917030567685588</v>
      </c>
      <c r="AS42" s="3">
        <f t="shared" si="33"/>
        <v>-0.88495575221238942</v>
      </c>
      <c r="AT42" s="3">
        <f>MIN(M42:AS42)</f>
        <v>-3.4858387799564272</v>
      </c>
      <c r="AU42" s="3">
        <f>MAX(M42:AS42)</f>
        <v>1.070663811563169</v>
      </c>
      <c r="AV42" s="7">
        <f>AVERAGE(M42:AS42)</f>
        <v>-1.1434754220712817</v>
      </c>
      <c r="AW42" s="3"/>
      <c r="AX42" s="3"/>
    </row>
    <row r="43" spans="1:50" customFormat="1" x14ac:dyDescent="0.15">
      <c r="A43" s="6" t="s">
        <v>41</v>
      </c>
      <c r="B43" s="3">
        <f t="shared" ref="B43:G43" si="34">B41/B40*100</f>
        <v>-0.38910505836575876</v>
      </c>
      <c r="C43" s="3">
        <f t="shared" si="34"/>
        <v>-0.88894301022893329</v>
      </c>
      <c r="D43" s="3">
        <f t="shared" si="34"/>
        <v>-2.1814148385506531</v>
      </c>
      <c r="E43" s="3">
        <f t="shared" si="34"/>
        <v>-0.63749999999999996</v>
      </c>
      <c r="F43" s="3">
        <f t="shared" si="34"/>
        <v>0.29943855271366188</v>
      </c>
      <c r="G43" s="3">
        <f t="shared" si="34"/>
        <v>-1.4947138169886984</v>
      </c>
      <c r="H43" s="3">
        <f>MIN(B43:G43)</f>
        <v>-2.1814148385506531</v>
      </c>
      <c r="I43" s="3">
        <f>MAX(B43:G43)</f>
        <v>0.29943855271366188</v>
      </c>
      <c r="J43" s="7">
        <f>AVERAGE(B43:G43)</f>
        <v>-0.8820396952367302</v>
      </c>
      <c r="K43" s="3"/>
      <c r="L43" s="3"/>
      <c r="M43" s="3">
        <f t="shared" ref="M43:AS43" si="35">M41/M40*100</f>
        <v>-0.64655172413793105</v>
      </c>
      <c r="N43" s="3">
        <f t="shared" si="35"/>
        <v>-0.64516129032258063</v>
      </c>
      <c r="O43" s="3">
        <f t="shared" si="35"/>
        <v>-0.86393088552915775</v>
      </c>
      <c r="P43" s="3">
        <f t="shared" si="35"/>
        <v>-1.48619957537155</v>
      </c>
      <c r="Q43" s="3">
        <f t="shared" si="35"/>
        <v>-1.0615711252653928</v>
      </c>
      <c r="R43" s="3">
        <f t="shared" si="35"/>
        <v>-1.9189765458422177</v>
      </c>
      <c r="S43" s="3">
        <f t="shared" si="35"/>
        <v>-1.9148936170212765</v>
      </c>
      <c r="T43" s="3">
        <f t="shared" si="35"/>
        <v>-3.3684210526315788</v>
      </c>
      <c r="U43" s="3">
        <f t="shared" si="35"/>
        <v>-2.5974025974025974</v>
      </c>
      <c r="V43" s="3">
        <f t="shared" si="35"/>
        <v>0.22779043280182232</v>
      </c>
      <c r="W43" s="3">
        <f t="shared" si="35"/>
        <v>-0.89686098654708524</v>
      </c>
      <c r="X43" s="3">
        <f t="shared" si="35"/>
        <v>0.87527352297592997</v>
      </c>
      <c r="Y43" s="3">
        <f t="shared" si="35"/>
        <v>-2.1505376344086025</v>
      </c>
      <c r="Z43" s="3">
        <f t="shared" si="35"/>
        <v>0</v>
      </c>
      <c r="AA43" s="3">
        <f t="shared" si="35"/>
        <v>-1.2738853503184715</v>
      </c>
      <c r="AB43" s="3">
        <f t="shared" si="35"/>
        <v>-0.22026431718061676</v>
      </c>
      <c r="AC43" s="3">
        <f t="shared" si="35"/>
        <v>-1.0775862068965518</v>
      </c>
      <c r="AD43" s="3">
        <f t="shared" si="35"/>
        <v>-1.9271948608137044</v>
      </c>
      <c r="AE43" s="3">
        <f t="shared" si="35"/>
        <v>-1.4830508474576272</v>
      </c>
      <c r="AF43" s="3">
        <f t="shared" si="35"/>
        <v>-0.63965884861407252</v>
      </c>
      <c r="AG43" s="3">
        <f t="shared" si="35"/>
        <v>1.0822510822510822</v>
      </c>
      <c r="AH43" s="3">
        <f t="shared" si="35"/>
        <v>-1.0822510822510822</v>
      </c>
      <c r="AI43" s="3">
        <f t="shared" si="35"/>
        <v>-1.0729613733905579</v>
      </c>
      <c r="AJ43" s="3">
        <f t="shared" si="35"/>
        <v>-1.5184381778741864</v>
      </c>
      <c r="AK43" s="3">
        <f t="shared" si="35"/>
        <v>-1.4893617021276597</v>
      </c>
      <c r="AL43" s="3">
        <f t="shared" si="35"/>
        <v>-1.5053763440860215</v>
      </c>
      <c r="AM43" s="3">
        <f t="shared" si="35"/>
        <v>-0.42553191489361702</v>
      </c>
      <c r="AN43" s="3">
        <f t="shared" si="35"/>
        <v>-2.5586353944562901</v>
      </c>
      <c r="AO43" s="3">
        <f t="shared" si="35"/>
        <v>-1.9230769230769231</v>
      </c>
      <c r="AP43" s="3">
        <f t="shared" si="35"/>
        <v>-0.4329004329004329</v>
      </c>
      <c r="AQ43" s="3">
        <f t="shared" si="35"/>
        <v>-1.070663811563169</v>
      </c>
      <c r="AR43" s="3">
        <f t="shared" si="35"/>
        <v>-1.079913606911447</v>
      </c>
      <c r="AS43" s="3">
        <f t="shared" si="35"/>
        <v>-0.8771929824561403</v>
      </c>
      <c r="AT43" s="3">
        <f>MIN(M43:AS43)</f>
        <v>-3.3684210526315788</v>
      </c>
      <c r="AU43" s="3">
        <f>MAX(M43:AS43)</f>
        <v>1.0822510822510822</v>
      </c>
      <c r="AV43" s="7">
        <f>AVERAGE(M43:AS43)</f>
        <v>-1.1219132173854456</v>
      </c>
      <c r="AW43" s="3"/>
      <c r="AX43" s="3"/>
    </row>
    <row r="49" spans="1:50" x14ac:dyDescent="0.15">
      <c r="A49" s="5" t="s">
        <v>38</v>
      </c>
    </row>
    <row r="50" spans="1:50" x14ac:dyDescent="0.15">
      <c r="A50" s="1" t="s">
        <v>26</v>
      </c>
      <c r="B50" s="3">
        <v>7386</v>
      </c>
      <c r="C50" s="3">
        <v>7307</v>
      </c>
      <c r="D50" s="3">
        <v>7599</v>
      </c>
      <c r="E50" s="3">
        <v>7731</v>
      </c>
      <c r="F50" s="3">
        <v>7297</v>
      </c>
      <c r="G50" s="3">
        <v>6537</v>
      </c>
      <c r="H50" s="3">
        <f>MIN(B50:G50)</f>
        <v>6537</v>
      </c>
      <c r="I50" s="3">
        <f>MAX(B50:G50)</f>
        <v>7731</v>
      </c>
      <c r="J50" s="3">
        <f>AVERAGE(B50:G50)</f>
        <v>7309.5</v>
      </c>
      <c r="M50" s="3">
        <v>3201</v>
      </c>
      <c r="N50" s="3">
        <v>3170</v>
      </c>
      <c r="O50" s="3">
        <v>3104</v>
      </c>
      <c r="P50" s="3">
        <v>3281</v>
      </c>
      <c r="Q50" s="3">
        <v>3173</v>
      </c>
      <c r="R50" s="3">
        <v>3138</v>
      </c>
      <c r="S50" s="3">
        <v>3215</v>
      </c>
      <c r="T50" s="3">
        <v>3292</v>
      </c>
      <c r="U50" s="3">
        <v>3213</v>
      </c>
      <c r="V50" s="3">
        <v>3133</v>
      </c>
      <c r="W50" s="3">
        <v>3172</v>
      </c>
      <c r="X50" s="3">
        <v>3129</v>
      </c>
      <c r="Y50" s="3">
        <v>3150</v>
      </c>
      <c r="Z50" s="3">
        <v>3129</v>
      </c>
      <c r="AA50" s="3">
        <v>3253</v>
      </c>
      <c r="AB50" s="3">
        <v>3007</v>
      </c>
      <c r="AC50" s="3">
        <v>3079</v>
      </c>
      <c r="AD50" s="3">
        <v>3186</v>
      </c>
      <c r="AE50" s="3">
        <v>3287</v>
      </c>
      <c r="AF50" s="3">
        <v>3217</v>
      </c>
      <c r="AG50" s="3">
        <v>3263</v>
      </c>
      <c r="AH50" s="3">
        <v>3122</v>
      </c>
      <c r="AI50" s="3">
        <v>3127</v>
      </c>
      <c r="AJ50" s="3">
        <v>3148</v>
      </c>
      <c r="AK50" s="3">
        <v>3131</v>
      </c>
      <c r="AL50" s="3">
        <v>3144</v>
      </c>
      <c r="AM50" s="3">
        <v>3129</v>
      </c>
      <c r="AN50" s="3">
        <v>3291</v>
      </c>
      <c r="AO50" s="3">
        <v>3215</v>
      </c>
      <c r="AP50" s="3">
        <v>3079</v>
      </c>
      <c r="AQ50" s="3">
        <v>3175</v>
      </c>
      <c r="AR50" s="3">
        <v>3161</v>
      </c>
      <c r="AS50" s="3">
        <v>3110</v>
      </c>
      <c r="AT50" s="3">
        <f>MIN(M50:AS50)</f>
        <v>3007</v>
      </c>
      <c r="AU50" s="3">
        <f>MAX(M50:AS50)</f>
        <v>3292</v>
      </c>
      <c r="AV50" s="3">
        <f>AVERAGE(M50:AS50)</f>
        <v>3170.4242424242425</v>
      </c>
    </row>
    <row r="51" spans="1:50" x14ac:dyDescent="0.15">
      <c r="A51" s="1" t="s">
        <v>26</v>
      </c>
      <c r="B51" s="3">
        <v>4547</v>
      </c>
      <c r="C51" s="3">
        <v>4459</v>
      </c>
      <c r="D51" s="3">
        <v>4539</v>
      </c>
      <c r="E51" s="3">
        <v>4573</v>
      </c>
      <c r="F51" s="3">
        <v>4595</v>
      </c>
      <c r="G51" s="3">
        <v>4623</v>
      </c>
      <c r="H51" s="3">
        <f>MIN(B51:G51)</f>
        <v>4459</v>
      </c>
      <c r="I51" s="3">
        <f>MAX(B51:G51)</f>
        <v>4623</v>
      </c>
      <c r="J51" s="3">
        <f>AVERAGE(B51:G51)</f>
        <v>4556</v>
      </c>
      <c r="M51" s="3">
        <v>3002</v>
      </c>
      <c r="N51" s="3">
        <v>3103</v>
      </c>
      <c r="O51" s="3">
        <v>2845</v>
      </c>
      <c r="P51" s="3">
        <v>3236</v>
      </c>
      <c r="Q51" s="3">
        <v>3082</v>
      </c>
      <c r="R51" s="3">
        <v>2901</v>
      </c>
      <c r="S51" s="3">
        <v>3167</v>
      </c>
      <c r="T51" s="3">
        <v>3246</v>
      </c>
      <c r="U51" s="3">
        <v>3164</v>
      </c>
      <c r="V51" s="3">
        <v>3003</v>
      </c>
      <c r="W51" s="3">
        <v>3126</v>
      </c>
      <c r="X51" s="3">
        <v>3097</v>
      </c>
      <c r="Y51" s="3">
        <v>3108</v>
      </c>
      <c r="Z51" s="3">
        <v>2770</v>
      </c>
      <c r="AA51" s="3">
        <v>3224</v>
      </c>
      <c r="AB51" s="3">
        <v>3029</v>
      </c>
      <c r="AC51" s="3">
        <v>3052</v>
      </c>
      <c r="AD51" s="3">
        <v>3138</v>
      </c>
      <c r="AE51" s="3">
        <v>3239</v>
      </c>
      <c r="AF51" s="3">
        <v>3199</v>
      </c>
      <c r="AG51" s="3">
        <v>3183</v>
      </c>
      <c r="AH51" s="3">
        <v>3091</v>
      </c>
      <c r="AI51" s="3">
        <v>3090</v>
      </c>
      <c r="AJ51" s="3">
        <v>3118</v>
      </c>
      <c r="AK51" s="3">
        <v>3102</v>
      </c>
      <c r="AL51" s="3">
        <v>3013</v>
      </c>
      <c r="AM51" s="3">
        <v>3093</v>
      </c>
      <c r="AN51" s="3">
        <v>3248</v>
      </c>
      <c r="AO51" s="3">
        <v>3179</v>
      </c>
      <c r="AP51" s="3">
        <v>3056</v>
      </c>
      <c r="AQ51" s="3">
        <v>3143</v>
      </c>
      <c r="AR51" s="3">
        <v>3121</v>
      </c>
      <c r="AS51" s="3">
        <v>3110</v>
      </c>
      <c r="AT51" s="3">
        <f>MIN(M51:AS51)</f>
        <v>2770</v>
      </c>
      <c r="AU51" s="3">
        <f>MAX(M51:AS51)</f>
        <v>3248</v>
      </c>
      <c r="AV51" s="3">
        <f>AVERAGE(M51:AS51)</f>
        <v>3099.3333333333335</v>
      </c>
    </row>
    <row r="52" spans="1:50" x14ac:dyDescent="0.15">
      <c r="A52" s="6" t="s">
        <v>39</v>
      </c>
      <c r="B52" s="3">
        <f t="shared" ref="B52:G52" si="36">B50-B51</f>
        <v>2839</v>
      </c>
      <c r="C52" s="3">
        <f t="shared" si="36"/>
        <v>2848</v>
      </c>
      <c r="D52" s="3">
        <f t="shared" si="36"/>
        <v>3060</v>
      </c>
      <c r="E52" s="3">
        <f t="shared" si="36"/>
        <v>3158</v>
      </c>
      <c r="F52" s="3">
        <f t="shared" si="36"/>
        <v>2702</v>
      </c>
      <c r="G52" s="3">
        <f t="shared" si="36"/>
        <v>1914</v>
      </c>
      <c r="H52" s="3">
        <f>MIN(B52:G52)</f>
        <v>1914</v>
      </c>
      <c r="I52" s="3">
        <f>MAX(B52:G52)</f>
        <v>3158</v>
      </c>
      <c r="J52" s="3">
        <f>AVERAGE(B52:G52)</f>
        <v>2753.5</v>
      </c>
      <c r="M52" s="3">
        <f t="shared" ref="M52:AS52" si="37">M50-M51</f>
        <v>199</v>
      </c>
      <c r="N52" s="3">
        <f t="shared" si="37"/>
        <v>67</v>
      </c>
      <c r="O52" s="3">
        <f t="shared" si="37"/>
        <v>259</v>
      </c>
      <c r="P52" s="3">
        <f t="shared" si="37"/>
        <v>45</v>
      </c>
      <c r="Q52" s="3">
        <f t="shared" si="37"/>
        <v>91</v>
      </c>
      <c r="R52" s="3">
        <f t="shared" si="37"/>
        <v>237</v>
      </c>
      <c r="S52" s="3">
        <f t="shared" si="37"/>
        <v>48</v>
      </c>
      <c r="T52" s="3">
        <f t="shared" si="37"/>
        <v>46</v>
      </c>
      <c r="U52" s="3">
        <f t="shared" si="37"/>
        <v>49</v>
      </c>
      <c r="V52" s="3">
        <f t="shared" si="37"/>
        <v>130</v>
      </c>
      <c r="W52" s="3">
        <f t="shared" si="37"/>
        <v>46</v>
      </c>
      <c r="X52" s="3">
        <f t="shared" si="37"/>
        <v>32</v>
      </c>
      <c r="Y52" s="3">
        <f t="shared" si="37"/>
        <v>42</v>
      </c>
      <c r="Z52" s="3">
        <f t="shared" si="37"/>
        <v>359</v>
      </c>
      <c r="AA52" s="3">
        <f t="shared" si="37"/>
        <v>29</v>
      </c>
      <c r="AB52" s="3">
        <f t="shared" si="37"/>
        <v>-22</v>
      </c>
      <c r="AC52" s="3">
        <f t="shared" si="37"/>
        <v>27</v>
      </c>
      <c r="AD52" s="3">
        <f t="shared" si="37"/>
        <v>48</v>
      </c>
      <c r="AE52" s="3">
        <f t="shared" si="37"/>
        <v>48</v>
      </c>
      <c r="AF52" s="3">
        <f t="shared" si="37"/>
        <v>18</v>
      </c>
      <c r="AG52" s="3">
        <f t="shared" si="37"/>
        <v>80</v>
      </c>
      <c r="AH52" s="3">
        <f t="shared" si="37"/>
        <v>31</v>
      </c>
      <c r="AI52" s="3">
        <f t="shared" si="37"/>
        <v>37</v>
      </c>
      <c r="AJ52" s="3">
        <f t="shared" si="37"/>
        <v>30</v>
      </c>
      <c r="AK52" s="3">
        <f t="shared" si="37"/>
        <v>29</v>
      </c>
      <c r="AL52" s="3">
        <f t="shared" si="37"/>
        <v>131</v>
      </c>
      <c r="AM52" s="3">
        <f t="shared" si="37"/>
        <v>36</v>
      </c>
      <c r="AN52" s="3">
        <f t="shared" si="37"/>
        <v>43</v>
      </c>
      <c r="AO52" s="3">
        <f t="shared" si="37"/>
        <v>36</v>
      </c>
      <c r="AP52" s="3">
        <f t="shared" si="37"/>
        <v>23</v>
      </c>
      <c r="AQ52" s="3">
        <f t="shared" si="37"/>
        <v>32</v>
      </c>
      <c r="AR52" s="3">
        <f t="shared" si="37"/>
        <v>40</v>
      </c>
      <c r="AS52" s="3">
        <f t="shared" si="37"/>
        <v>0</v>
      </c>
      <c r="AT52" s="3">
        <f>MIN(M52:AS52)</f>
        <v>-22</v>
      </c>
      <c r="AU52" s="3">
        <f>MAX(M52:AS52)</f>
        <v>359</v>
      </c>
      <c r="AV52" s="3">
        <f>AVERAGE(M52:AS52)</f>
        <v>71.090909090909093</v>
      </c>
    </row>
    <row r="53" spans="1:50" customFormat="1" x14ac:dyDescent="0.15">
      <c r="A53" s="6" t="s">
        <v>40</v>
      </c>
      <c r="B53" s="3">
        <f t="shared" ref="B53:G53" si="38">B52/B50*100</f>
        <v>38.437584619550499</v>
      </c>
      <c r="C53" s="3">
        <f t="shared" si="38"/>
        <v>38.976324072806896</v>
      </c>
      <c r="D53" s="3">
        <f t="shared" si="38"/>
        <v>40.268456375838923</v>
      </c>
      <c r="E53" s="3">
        <f t="shared" si="38"/>
        <v>40.848531884620357</v>
      </c>
      <c r="F53" s="3">
        <f t="shared" si="38"/>
        <v>37.028915992873785</v>
      </c>
      <c r="G53" s="3">
        <f t="shared" si="38"/>
        <v>29.279486002753558</v>
      </c>
      <c r="H53" s="3">
        <f>MIN(B53:G53)</f>
        <v>29.279486002753558</v>
      </c>
      <c r="I53" s="3">
        <f>MAX(B53:G53)</f>
        <v>40.848531884620357</v>
      </c>
      <c r="J53" s="7">
        <f>AVERAGE(B53:G53)</f>
        <v>37.473216491407335</v>
      </c>
      <c r="K53" s="3"/>
      <c r="L53" s="3"/>
      <c r="M53" s="3">
        <f t="shared" ref="M53:AS53" si="39">M52/M50*100</f>
        <v>6.2168072477350833</v>
      </c>
      <c r="N53" s="3">
        <f t="shared" si="39"/>
        <v>2.1135646687697163</v>
      </c>
      <c r="O53" s="3">
        <f t="shared" si="39"/>
        <v>8.3440721649484537</v>
      </c>
      <c r="P53" s="3">
        <f t="shared" si="39"/>
        <v>1.3715330691862238</v>
      </c>
      <c r="Q53" s="3">
        <f t="shared" si="39"/>
        <v>2.8679483138985185</v>
      </c>
      <c r="R53" s="3">
        <f t="shared" si="39"/>
        <v>7.5525812619502863</v>
      </c>
      <c r="S53" s="3">
        <f t="shared" si="39"/>
        <v>1.4930015552099534</v>
      </c>
      <c r="T53" s="3">
        <f t="shared" si="39"/>
        <v>1.3973268529769136</v>
      </c>
      <c r="U53" s="3">
        <f t="shared" si="39"/>
        <v>1.5250544662309369</v>
      </c>
      <c r="V53" s="3">
        <f t="shared" si="39"/>
        <v>4.1493775933609953</v>
      </c>
      <c r="W53" s="3">
        <f t="shared" si="39"/>
        <v>1.4501891551071879</v>
      </c>
      <c r="X53" s="3">
        <f t="shared" si="39"/>
        <v>1.0226909555768615</v>
      </c>
      <c r="Y53" s="3">
        <f t="shared" si="39"/>
        <v>1.3333333333333335</v>
      </c>
      <c r="Z53" s="3">
        <f t="shared" si="39"/>
        <v>11.473314157877915</v>
      </c>
      <c r="AA53" s="3">
        <f t="shared" si="39"/>
        <v>0.89148478327697511</v>
      </c>
      <c r="AB53" s="3">
        <f t="shared" si="39"/>
        <v>-0.73162620552045232</v>
      </c>
      <c r="AC53" s="3">
        <f t="shared" si="39"/>
        <v>0.87690808704124712</v>
      </c>
      <c r="AD53" s="3">
        <f t="shared" si="39"/>
        <v>1.5065913370998116</v>
      </c>
      <c r="AE53" s="3">
        <f t="shared" si="39"/>
        <v>1.4602981442044418</v>
      </c>
      <c r="AF53" s="3">
        <f t="shared" si="39"/>
        <v>0.55952751010258006</v>
      </c>
      <c r="AG53" s="3">
        <f t="shared" si="39"/>
        <v>2.4517315353968741</v>
      </c>
      <c r="AH53" s="3">
        <f t="shared" si="39"/>
        <v>0.99295323510570144</v>
      </c>
      <c r="AI53" s="3">
        <f t="shared" si="39"/>
        <v>1.18324272465622</v>
      </c>
      <c r="AJ53" s="3">
        <f t="shared" si="39"/>
        <v>0.95298602287166456</v>
      </c>
      <c r="AK53" s="3">
        <f t="shared" si="39"/>
        <v>0.9262216544235069</v>
      </c>
      <c r="AL53" s="3">
        <f t="shared" si="39"/>
        <v>4.1666666666666661</v>
      </c>
      <c r="AM53" s="3">
        <f t="shared" si="39"/>
        <v>1.1505273250239694</v>
      </c>
      <c r="AN53" s="3">
        <f t="shared" si="39"/>
        <v>1.3065937405044059</v>
      </c>
      <c r="AO53" s="3">
        <f t="shared" si="39"/>
        <v>1.1197511664074651</v>
      </c>
      <c r="AP53" s="3">
        <f t="shared" si="39"/>
        <v>0.74699577784995119</v>
      </c>
      <c r="AQ53" s="3">
        <f t="shared" si="39"/>
        <v>1.0078740157480315</v>
      </c>
      <c r="AR53" s="3">
        <f t="shared" si="39"/>
        <v>1.2654223347042075</v>
      </c>
      <c r="AS53" s="3">
        <f t="shared" si="39"/>
        <v>0</v>
      </c>
      <c r="AT53" s="3">
        <f>MIN(M53:AS53)</f>
        <v>-0.73162620552045232</v>
      </c>
      <c r="AU53" s="3">
        <f>MAX(M53:AS53)</f>
        <v>11.473314157877915</v>
      </c>
      <c r="AV53" s="7">
        <f>AVERAGE(M53:AS53)</f>
        <v>2.2468165045977475</v>
      </c>
      <c r="AW53" s="3"/>
      <c r="AX53" s="3"/>
    </row>
    <row r="54" spans="1:50" customFormat="1" x14ac:dyDescent="0.15">
      <c r="A54" s="6" t="s">
        <v>41</v>
      </c>
      <c r="B54" s="3">
        <f t="shared" ref="B54:G54" si="40">B52/B51*100</f>
        <v>62.436771497690792</v>
      </c>
      <c r="C54" s="3">
        <f t="shared" si="40"/>
        <v>63.870823054496526</v>
      </c>
      <c r="D54" s="3">
        <f t="shared" si="40"/>
        <v>67.415730337078656</v>
      </c>
      <c r="E54" s="3">
        <f t="shared" si="40"/>
        <v>69.057511480428602</v>
      </c>
      <c r="F54" s="3">
        <f t="shared" si="40"/>
        <v>58.803046789989125</v>
      </c>
      <c r="G54" s="3">
        <f t="shared" si="40"/>
        <v>41.40168721609345</v>
      </c>
      <c r="H54" s="3">
        <f>MIN(B54:G54)</f>
        <v>41.40168721609345</v>
      </c>
      <c r="I54" s="3">
        <f>MAX(B54:G54)</f>
        <v>69.057511480428602</v>
      </c>
      <c r="J54" s="7">
        <f>AVERAGE(B54:G54)</f>
        <v>60.497595062629522</v>
      </c>
      <c r="K54" s="3"/>
      <c r="L54" s="3"/>
      <c r="M54" s="3">
        <f t="shared" ref="M54:AS54" si="41">M52/M51*100</f>
        <v>6.6289140572951366</v>
      </c>
      <c r="N54" s="3">
        <f t="shared" si="41"/>
        <v>2.1592007734450531</v>
      </c>
      <c r="O54" s="3">
        <f t="shared" si="41"/>
        <v>9.1036906854130066</v>
      </c>
      <c r="P54" s="3">
        <f t="shared" si="41"/>
        <v>1.3906056860321385</v>
      </c>
      <c r="Q54" s="3">
        <f t="shared" si="41"/>
        <v>2.9526281635301754</v>
      </c>
      <c r="R54" s="3">
        <f t="shared" si="41"/>
        <v>8.1695966907962774</v>
      </c>
      <c r="S54" s="3">
        <f t="shared" si="41"/>
        <v>1.5156299336911905</v>
      </c>
      <c r="T54" s="3">
        <f t="shared" si="41"/>
        <v>1.4171287738755391</v>
      </c>
      <c r="U54" s="3">
        <f t="shared" si="41"/>
        <v>1.5486725663716814</v>
      </c>
      <c r="V54" s="3">
        <f t="shared" si="41"/>
        <v>4.329004329004329</v>
      </c>
      <c r="W54" s="3">
        <f t="shared" si="41"/>
        <v>1.4715291106845809</v>
      </c>
      <c r="X54" s="3">
        <f t="shared" si="41"/>
        <v>1.0332579916047788</v>
      </c>
      <c r="Y54" s="3">
        <f t="shared" si="41"/>
        <v>1.3513513513513513</v>
      </c>
      <c r="Z54" s="3">
        <f t="shared" si="41"/>
        <v>12.960288808664261</v>
      </c>
      <c r="AA54" s="3">
        <f t="shared" si="41"/>
        <v>0.89950372208436724</v>
      </c>
      <c r="AB54" s="3">
        <f t="shared" si="41"/>
        <v>-0.72631231429514687</v>
      </c>
      <c r="AC54" s="3">
        <f t="shared" si="41"/>
        <v>0.88466579292267367</v>
      </c>
      <c r="AD54" s="3">
        <f t="shared" si="41"/>
        <v>1.5296367112810707</v>
      </c>
      <c r="AE54" s="3">
        <f t="shared" si="41"/>
        <v>1.4819388700216116</v>
      </c>
      <c r="AF54" s="3">
        <f t="shared" si="41"/>
        <v>0.56267583619881212</v>
      </c>
      <c r="AG54" s="3">
        <f t="shared" si="41"/>
        <v>2.5133521834747095</v>
      </c>
      <c r="AH54" s="3">
        <f t="shared" si="41"/>
        <v>1.0029116790682626</v>
      </c>
      <c r="AI54" s="3">
        <f t="shared" si="41"/>
        <v>1.1974110032362459</v>
      </c>
      <c r="AJ54" s="3">
        <f t="shared" si="41"/>
        <v>0.96215522771007056</v>
      </c>
      <c r="AK54" s="3">
        <f t="shared" si="41"/>
        <v>0.93488072211476458</v>
      </c>
      <c r="AL54" s="3">
        <f t="shared" si="41"/>
        <v>4.3478260869565215</v>
      </c>
      <c r="AM54" s="3">
        <f t="shared" si="41"/>
        <v>1.1639185257032008</v>
      </c>
      <c r="AN54" s="3">
        <f t="shared" si="41"/>
        <v>1.3238916256157636</v>
      </c>
      <c r="AO54" s="3">
        <f t="shared" si="41"/>
        <v>1.1324315822585718</v>
      </c>
      <c r="AP54" s="3">
        <f t="shared" si="41"/>
        <v>0.75261780104712039</v>
      </c>
      <c r="AQ54" s="3">
        <f t="shared" si="41"/>
        <v>1.0181355392936684</v>
      </c>
      <c r="AR54" s="3">
        <f t="shared" si="41"/>
        <v>1.281640499839795</v>
      </c>
      <c r="AS54" s="3">
        <f t="shared" si="41"/>
        <v>0</v>
      </c>
      <c r="AT54" s="3">
        <f>MIN(M54:AS54)</f>
        <v>-0.72631231429514687</v>
      </c>
      <c r="AU54" s="3">
        <f>MAX(M54:AS54)</f>
        <v>12.960288808664261</v>
      </c>
      <c r="AV54" s="7">
        <f>AVERAGE(M54:AS54)</f>
        <v>2.3725690914027746</v>
      </c>
      <c r="AW54" s="3"/>
      <c r="AX54" s="3"/>
    </row>
    <row r="56" spans="1:50" x14ac:dyDescent="0.15">
      <c r="A56" s="1" t="s">
        <v>27</v>
      </c>
      <c r="B56" s="3">
        <v>933</v>
      </c>
      <c r="C56" s="3">
        <v>923</v>
      </c>
      <c r="D56" s="3">
        <v>967</v>
      </c>
      <c r="E56" s="3">
        <v>979</v>
      </c>
      <c r="F56" s="3">
        <v>928</v>
      </c>
      <c r="G56" s="3">
        <v>826</v>
      </c>
      <c r="H56" s="3">
        <f>MIN(B56:G56)</f>
        <v>826</v>
      </c>
      <c r="I56" s="3">
        <f>MAX(B56:G56)</f>
        <v>979</v>
      </c>
      <c r="J56" s="3">
        <f>AVERAGE(B56:G56)</f>
        <v>926</v>
      </c>
      <c r="M56" s="3">
        <v>405</v>
      </c>
      <c r="N56" s="3">
        <v>402</v>
      </c>
      <c r="O56" s="3">
        <v>391</v>
      </c>
      <c r="P56" s="3">
        <v>410</v>
      </c>
      <c r="Q56" s="3">
        <v>400</v>
      </c>
      <c r="R56" s="3">
        <v>396</v>
      </c>
      <c r="S56" s="3">
        <v>404</v>
      </c>
      <c r="T56" s="3">
        <v>410</v>
      </c>
      <c r="U56" s="3">
        <v>403</v>
      </c>
      <c r="V56" s="3">
        <v>390</v>
      </c>
      <c r="W56" s="3">
        <v>396</v>
      </c>
      <c r="X56" s="3">
        <v>380</v>
      </c>
      <c r="Y56" s="3">
        <v>395</v>
      </c>
      <c r="Z56" s="3">
        <v>353</v>
      </c>
      <c r="AA56" s="3">
        <v>409</v>
      </c>
      <c r="AB56" s="3">
        <v>383</v>
      </c>
      <c r="AC56" s="3">
        <v>388</v>
      </c>
      <c r="AD56" s="3">
        <v>397</v>
      </c>
      <c r="AE56" s="3">
        <v>413</v>
      </c>
      <c r="AF56" s="3">
        <v>402</v>
      </c>
      <c r="AG56" s="3">
        <v>370</v>
      </c>
      <c r="AH56" s="3">
        <v>389</v>
      </c>
      <c r="AI56" s="3">
        <v>393</v>
      </c>
      <c r="AJ56" s="3">
        <v>396</v>
      </c>
      <c r="AK56" s="3">
        <v>396</v>
      </c>
      <c r="AL56" s="3">
        <v>393</v>
      </c>
      <c r="AM56" s="3">
        <v>396</v>
      </c>
      <c r="AN56" s="3">
        <v>380</v>
      </c>
      <c r="AO56" s="3">
        <v>396</v>
      </c>
      <c r="AP56" s="3">
        <v>379</v>
      </c>
      <c r="AQ56" s="3">
        <v>396</v>
      </c>
      <c r="AR56" s="3">
        <v>393</v>
      </c>
      <c r="AS56" s="3">
        <v>387</v>
      </c>
      <c r="AT56" s="3">
        <f>MIN(M56:AS56)</f>
        <v>353</v>
      </c>
      <c r="AU56" s="3">
        <f>MAX(M56:AS56)</f>
        <v>413</v>
      </c>
      <c r="AV56" s="3">
        <f>AVERAGE(M56:AS56)</f>
        <v>393.66666666666669</v>
      </c>
    </row>
    <row r="57" spans="1:50" x14ac:dyDescent="0.15">
      <c r="A57" s="1" t="s">
        <v>27</v>
      </c>
      <c r="B57" s="3">
        <v>514</v>
      </c>
      <c r="C57" s="3">
        <v>498</v>
      </c>
      <c r="D57" s="3">
        <v>506</v>
      </c>
      <c r="E57" s="3">
        <v>507</v>
      </c>
      <c r="F57" s="3">
        <v>510</v>
      </c>
      <c r="G57" s="3">
        <v>510</v>
      </c>
      <c r="H57" s="3">
        <f>MIN(B57:G57)</f>
        <v>498</v>
      </c>
      <c r="I57" s="3">
        <f>MAX(B57:G57)</f>
        <v>514</v>
      </c>
      <c r="J57" s="3">
        <f>AVERAGE(B57:G57)</f>
        <v>507.5</v>
      </c>
      <c r="M57" s="3">
        <v>396</v>
      </c>
      <c r="N57" s="3">
        <v>391</v>
      </c>
      <c r="O57" s="3">
        <v>386</v>
      </c>
      <c r="P57" s="3">
        <v>404</v>
      </c>
      <c r="Q57" s="3">
        <v>387</v>
      </c>
      <c r="R57" s="3">
        <v>390</v>
      </c>
      <c r="S57" s="3">
        <v>396</v>
      </c>
      <c r="T57" s="3">
        <v>407</v>
      </c>
      <c r="U57" s="3">
        <v>396</v>
      </c>
      <c r="V57" s="3">
        <v>388</v>
      </c>
      <c r="W57" s="3">
        <v>391</v>
      </c>
      <c r="X57" s="3">
        <v>389</v>
      </c>
      <c r="Y57" s="3">
        <v>391</v>
      </c>
      <c r="Z57" s="3">
        <v>384</v>
      </c>
      <c r="AA57" s="3">
        <v>399</v>
      </c>
      <c r="AB57" s="3">
        <v>378</v>
      </c>
      <c r="AC57" s="3">
        <v>381</v>
      </c>
      <c r="AD57" s="3">
        <v>391</v>
      </c>
      <c r="AE57" s="3">
        <v>405</v>
      </c>
      <c r="AF57" s="3">
        <v>387</v>
      </c>
      <c r="AG57" s="3">
        <v>397</v>
      </c>
      <c r="AH57" s="3">
        <v>384</v>
      </c>
      <c r="AI57" s="3">
        <v>387</v>
      </c>
      <c r="AJ57" s="3">
        <v>389</v>
      </c>
      <c r="AK57" s="3">
        <v>377</v>
      </c>
      <c r="AL57" s="3">
        <v>385</v>
      </c>
      <c r="AM57" s="3">
        <v>389</v>
      </c>
      <c r="AN57" s="3">
        <v>404</v>
      </c>
      <c r="AO57" s="3">
        <v>397</v>
      </c>
      <c r="AP57" s="3">
        <v>381</v>
      </c>
      <c r="AQ57" s="3">
        <v>391</v>
      </c>
      <c r="AR57" s="3">
        <v>389</v>
      </c>
      <c r="AS57" s="3">
        <v>383</v>
      </c>
      <c r="AT57" s="3">
        <f>MIN(M57:AS57)</f>
        <v>377</v>
      </c>
      <c r="AU57" s="3">
        <f>MAX(M57:AS57)</f>
        <v>407</v>
      </c>
      <c r="AV57" s="3">
        <f>AVERAGE(M57:AS57)</f>
        <v>390.60606060606062</v>
      </c>
    </row>
    <row r="58" spans="1:50" x14ac:dyDescent="0.15">
      <c r="A58" s="6" t="s">
        <v>39</v>
      </c>
      <c r="B58" s="3">
        <f t="shared" ref="B58:G58" si="42">B56-B57</f>
        <v>419</v>
      </c>
      <c r="C58" s="3">
        <f t="shared" si="42"/>
        <v>425</v>
      </c>
      <c r="D58" s="3">
        <f t="shared" si="42"/>
        <v>461</v>
      </c>
      <c r="E58" s="3">
        <f t="shared" si="42"/>
        <v>472</v>
      </c>
      <c r="F58" s="3">
        <f t="shared" si="42"/>
        <v>418</v>
      </c>
      <c r="G58" s="3">
        <f t="shared" si="42"/>
        <v>316</v>
      </c>
      <c r="H58" s="3">
        <f>MIN(B58:G58)</f>
        <v>316</v>
      </c>
      <c r="I58" s="3">
        <f>MAX(B58:G58)</f>
        <v>472</v>
      </c>
      <c r="J58" s="3">
        <f>AVERAGE(B58:G58)</f>
        <v>418.5</v>
      </c>
      <c r="M58" s="3">
        <f t="shared" ref="M58:AS58" si="43">M56-M57</f>
        <v>9</v>
      </c>
      <c r="N58" s="3">
        <f t="shared" si="43"/>
        <v>11</v>
      </c>
      <c r="O58" s="3">
        <f t="shared" si="43"/>
        <v>5</v>
      </c>
      <c r="P58" s="3">
        <f t="shared" si="43"/>
        <v>6</v>
      </c>
      <c r="Q58" s="3">
        <f t="shared" si="43"/>
        <v>13</v>
      </c>
      <c r="R58" s="3">
        <f t="shared" si="43"/>
        <v>6</v>
      </c>
      <c r="S58" s="3">
        <f t="shared" si="43"/>
        <v>8</v>
      </c>
      <c r="T58" s="3">
        <f t="shared" si="43"/>
        <v>3</v>
      </c>
      <c r="U58" s="3">
        <f t="shared" si="43"/>
        <v>7</v>
      </c>
      <c r="V58" s="3">
        <f t="shared" si="43"/>
        <v>2</v>
      </c>
      <c r="W58" s="3">
        <f t="shared" si="43"/>
        <v>5</v>
      </c>
      <c r="X58" s="3">
        <f t="shared" si="43"/>
        <v>-9</v>
      </c>
      <c r="Y58" s="3">
        <f t="shared" si="43"/>
        <v>4</v>
      </c>
      <c r="Z58" s="3">
        <f t="shared" si="43"/>
        <v>-31</v>
      </c>
      <c r="AA58" s="3">
        <f t="shared" si="43"/>
        <v>10</v>
      </c>
      <c r="AB58" s="3">
        <f t="shared" si="43"/>
        <v>5</v>
      </c>
      <c r="AC58" s="3">
        <f t="shared" si="43"/>
        <v>7</v>
      </c>
      <c r="AD58" s="3">
        <f t="shared" si="43"/>
        <v>6</v>
      </c>
      <c r="AE58" s="3">
        <f t="shared" si="43"/>
        <v>8</v>
      </c>
      <c r="AF58" s="3">
        <f t="shared" si="43"/>
        <v>15</v>
      </c>
      <c r="AG58" s="3">
        <f t="shared" si="43"/>
        <v>-27</v>
      </c>
      <c r="AH58" s="3">
        <f t="shared" si="43"/>
        <v>5</v>
      </c>
      <c r="AI58" s="3">
        <f t="shared" si="43"/>
        <v>6</v>
      </c>
      <c r="AJ58" s="3">
        <f t="shared" si="43"/>
        <v>7</v>
      </c>
      <c r="AK58" s="3">
        <f t="shared" si="43"/>
        <v>19</v>
      </c>
      <c r="AL58" s="3">
        <f t="shared" si="43"/>
        <v>8</v>
      </c>
      <c r="AM58" s="3">
        <f t="shared" si="43"/>
        <v>7</v>
      </c>
      <c r="AN58" s="3">
        <f t="shared" si="43"/>
        <v>-24</v>
      </c>
      <c r="AO58" s="3">
        <f t="shared" si="43"/>
        <v>-1</v>
      </c>
      <c r="AP58" s="3">
        <f t="shared" si="43"/>
        <v>-2</v>
      </c>
      <c r="AQ58" s="3">
        <f t="shared" si="43"/>
        <v>5</v>
      </c>
      <c r="AR58" s="3">
        <f t="shared" si="43"/>
        <v>4</v>
      </c>
      <c r="AS58" s="3">
        <f t="shared" si="43"/>
        <v>4</v>
      </c>
      <c r="AT58" s="3">
        <f>MIN(M58:AS58)</f>
        <v>-31</v>
      </c>
      <c r="AU58" s="3">
        <f>MAX(M58:AS58)</f>
        <v>19</v>
      </c>
      <c r="AV58" s="3">
        <f>AVERAGE(M58:AS58)</f>
        <v>3.0606060606060606</v>
      </c>
    </row>
    <row r="59" spans="1:50" customFormat="1" x14ac:dyDescent="0.15">
      <c r="A59" s="6" t="s">
        <v>40</v>
      </c>
      <c r="B59" s="3">
        <f t="shared" ref="B59:G59" si="44">B58/B56*100</f>
        <v>44.90889603429796</v>
      </c>
      <c r="C59" s="3">
        <f t="shared" si="44"/>
        <v>46.045503791982668</v>
      </c>
      <c r="D59" s="3">
        <f t="shared" si="44"/>
        <v>47.673216132368154</v>
      </c>
      <c r="E59" s="3">
        <f t="shared" si="44"/>
        <v>48.212461695607765</v>
      </c>
      <c r="F59" s="3">
        <f t="shared" si="44"/>
        <v>45.043103448275865</v>
      </c>
      <c r="G59" s="3">
        <f t="shared" si="44"/>
        <v>38.256658595641646</v>
      </c>
      <c r="H59" s="3">
        <f>MIN(B59:G59)</f>
        <v>38.256658595641646</v>
      </c>
      <c r="I59" s="3">
        <f>MAX(B59:G59)</f>
        <v>48.212461695607765</v>
      </c>
      <c r="J59" s="7">
        <f>AVERAGE(B59:G59)</f>
        <v>45.023306616362341</v>
      </c>
      <c r="K59" s="3"/>
      <c r="L59" s="3"/>
      <c r="M59" s="3">
        <f t="shared" ref="M59:AS59" si="45">M58/M56*100</f>
        <v>2.2222222222222223</v>
      </c>
      <c r="N59" s="3">
        <f t="shared" si="45"/>
        <v>2.7363184079601992</v>
      </c>
      <c r="O59" s="3">
        <f t="shared" si="45"/>
        <v>1.2787723785166241</v>
      </c>
      <c r="P59" s="3">
        <f t="shared" si="45"/>
        <v>1.4634146341463417</v>
      </c>
      <c r="Q59" s="3">
        <f t="shared" si="45"/>
        <v>3.25</v>
      </c>
      <c r="R59" s="3">
        <f t="shared" si="45"/>
        <v>1.5151515151515151</v>
      </c>
      <c r="S59" s="3">
        <f t="shared" si="45"/>
        <v>1.9801980198019802</v>
      </c>
      <c r="T59" s="3">
        <f t="shared" si="45"/>
        <v>0.73170731707317083</v>
      </c>
      <c r="U59" s="3">
        <f t="shared" si="45"/>
        <v>1.7369727047146404</v>
      </c>
      <c r="V59" s="3">
        <f t="shared" si="45"/>
        <v>0.51282051282051277</v>
      </c>
      <c r="W59" s="3">
        <f t="shared" si="45"/>
        <v>1.2626262626262625</v>
      </c>
      <c r="X59" s="3">
        <f t="shared" si="45"/>
        <v>-2.3684210526315792</v>
      </c>
      <c r="Y59" s="3">
        <f t="shared" si="45"/>
        <v>1.0126582278481013</v>
      </c>
      <c r="Z59" s="3">
        <f t="shared" si="45"/>
        <v>-8.7818696883852692</v>
      </c>
      <c r="AA59" s="3">
        <f t="shared" si="45"/>
        <v>2.4449877750611249</v>
      </c>
      <c r="AB59" s="3">
        <f t="shared" si="45"/>
        <v>1.3054830287206265</v>
      </c>
      <c r="AC59" s="3">
        <f t="shared" si="45"/>
        <v>1.804123711340206</v>
      </c>
      <c r="AD59" s="3">
        <f t="shared" si="45"/>
        <v>1.5113350125944585</v>
      </c>
      <c r="AE59" s="3">
        <f t="shared" si="45"/>
        <v>1.937046004842615</v>
      </c>
      <c r="AF59" s="3">
        <f t="shared" si="45"/>
        <v>3.7313432835820892</v>
      </c>
      <c r="AG59" s="3">
        <f t="shared" si="45"/>
        <v>-7.2972972972972974</v>
      </c>
      <c r="AH59" s="3">
        <f t="shared" si="45"/>
        <v>1.2853470437017995</v>
      </c>
      <c r="AI59" s="3">
        <f t="shared" si="45"/>
        <v>1.5267175572519083</v>
      </c>
      <c r="AJ59" s="3">
        <f t="shared" si="45"/>
        <v>1.7676767676767675</v>
      </c>
      <c r="AK59" s="3">
        <f t="shared" si="45"/>
        <v>4.7979797979797976</v>
      </c>
      <c r="AL59" s="3">
        <f t="shared" si="45"/>
        <v>2.0356234096692112</v>
      </c>
      <c r="AM59" s="3">
        <f t="shared" si="45"/>
        <v>1.7676767676767675</v>
      </c>
      <c r="AN59" s="3">
        <f t="shared" si="45"/>
        <v>-6.3157894736842106</v>
      </c>
      <c r="AO59" s="3">
        <f t="shared" si="45"/>
        <v>-0.25252525252525254</v>
      </c>
      <c r="AP59" s="3">
        <f t="shared" si="45"/>
        <v>-0.52770448548812665</v>
      </c>
      <c r="AQ59" s="3">
        <f t="shared" si="45"/>
        <v>1.2626262626262625</v>
      </c>
      <c r="AR59" s="3">
        <f t="shared" si="45"/>
        <v>1.0178117048346056</v>
      </c>
      <c r="AS59" s="3">
        <f t="shared" si="45"/>
        <v>1.03359173126615</v>
      </c>
      <c r="AT59" s="3">
        <f>MIN(M59:AS59)</f>
        <v>-8.7818696883852692</v>
      </c>
      <c r="AU59" s="3">
        <f>MAX(M59:AS59)</f>
        <v>4.7979797979797976</v>
      </c>
      <c r="AV59" s="7">
        <f>AVERAGE(M59:AS59)</f>
        <v>0.70874620641497654</v>
      </c>
      <c r="AW59" s="3"/>
      <c r="AX59" s="3"/>
    </row>
    <row r="60" spans="1:50" customFormat="1" x14ac:dyDescent="0.15">
      <c r="A60" s="6" t="s">
        <v>41</v>
      </c>
      <c r="B60" s="3">
        <f t="shared" ref="B60:G60" si="46">B58/B57*100</f>
        <v>81.517509727626461</v>
      </c>
      <c r="C60" s="3">
        <f t="shared" si="46"/>
        <v>85.341365461847388</v>
      </c>
      <c r="D60" s="3">
        <f t="shared" si="46"/>
        <v>91.106719367588923</v>
      </c>
      <c r="E60" s="3">
        <f t="shared" si="46"/>
        <v>93.096646942800788</v>
      </c>
      <c r="F60" s="3">
        <f t="shared" si="46"/>
        <v>81.960784313725483</v>
      </c>
      <c r="G60" s="3">
        <f t="shared" si="46"/>
        <v>61.96078431372549</v>
      </c>
      <c r="H60" s="3">
        <f>MIN(B60:G60)</f>
        <v>61.96078431372549</v>
      </c>
      <c r="I60" s="3">
        <f>MAX(B60:G60)</f>
        <v>93.096646942800788</v>
      </c>
      <c r="J60" s="7">
        <f>AVERAGE(B60:G60)</f>
        <v>82.497301687885752</v>
      </c>
      <c r="K60" s="3"/>
      <c r="L60" s="3"/>
      <c r="M60" s="3">
        <f t="shared" ref="M60:AS60" si="47">M58/M57*100</f>
        <v>2.2727272727272729</v>
      </c>
      <c r="N60" s="3">
        <f t="shared" si="47"/>
        <v>2.8132992327365729</v>
      </c>
      <c r="O60" s="3">
        <f t="shared" si="47"/>
        <v>1.2953367875647668</v>
      </c>
      <c r="P60" s="3">
        <f t="shared" si="47"/>
        <v>1.4851485148514851</v>
      </c>
      <c r="Q60" s="3">
        <f t="shared" si="47"/>
        <v>3.3591731266149871</v>
      </c>
      <c r="R60" s="3">
        <f t="shared" si="47"/>
        <v>1.5384615384615385</v>
      </c>
      <c r="S60" s="3">
        <f t="shared" si="47"/>
        <v>2.0202020202020203</v>
      </c>
      <c r="T60" s="3">
        <f t="shared" si="47"/>
        <v>0.73710073710073709</v>
      </c>
      <c r="U60" s="3">
        <f t="shared" si="47"/>
        <v>1.7676767676767675</v>
      </c>
      <c r="V60" s="3">
        <f t="shared" si="47"/>
        <v>0.51546391752577314</v>
      </c>
      <c r="W60" s="3">
        <f t="shared" si="47"/>
        <v>1.2787723785166241</v>
      </c>
      <c r="X60" s="3">
        <f t="shared" si="47"/>
        <v>-2.3136246786632388</v>
      </c>
      <c r="Y60" s="3">
        <f t="shared" si="47"/>
        <v>1.0230179028132993</v>
      </c>
      <c r="Z60" s="3">
        <f t="shared" si="47"/>
        <v>-8.0729166666666679</v>
      </c>
      <c r="AA60" s="3">
        <f t="shared" si="47"/>
        <v>2.5062656641604009</v>
      </c>
      <c r="AB60" s="3">
        <f t="shared" si="47"/>
        <v>1.3227513227513228</v>
      </c>
      <c r="AC60" s="3">
        <f t="shared" si="47"/>
        <v>1.837270341207349</v>
      </c>
      <c r="AD60" s="3">
        <f t="shared" si="47"/>
        <v>1.5345268542199488</v>
      </c>
      <c r="AE60" s="3">
        <f t="shared" si="47"/>
        <v>1.9753086419753085</v>
      </c>
      <c r="AF60" s="3">
        <f t="shared" si="47"/>
        <v>3.8759689922480618</v>
      </c>
      <c r="AG60" s="3">
        <f t="shared" si="47"/>
        <v>-6.8010075566750636</v>
      </c>
      <c r="AH60" s="3">
        <f t="shared" si="47"/>
        <v>1.3020833333333335</v>
      </c>
      <c r="AI60" s="3">
        <f t="shared" si="47"/>
        <v>1.5503875968992249</v>
      </c>
      <c r="AJ60" s="3">
        <f t="shared" si="47"/>
        <v>1.7994858611825193</v>
      </c>
      <c r="AK60" s="3">
        <f t="shared" si="47"/>
        <v>5.0397877984084882</v>
      </c>
      <c r="AL60" s="3">
        <f t="shared" si="47"/>
        <v>2.0779220779220777</v>
      </c>
      <c r="AM60" s="3">
        <f t="shared" si="47"/>
        <v>1.7994858611825193</v>
      </c>
      <c r="AN60" s="3">
        <f t="shared" si="47"/>
        <v>-5.9405940594059405</v>
      </c>
      <c r="AO60" s="3">
        <f t="shared" si="47"/>
        <v>-0.25188916876574308</v>
      </c>
      <c r="AP60" s="3">
        <f t="shared" si="47"/>
        <v>-0.52493438320209973</v>
      </c>
      <c r="AQ60" s="3">
        <f t="shared" si="47"/>
        <v>1.2787723785166241</v>
      </c>
      <c r="AR60" s="3">
        <f t="shared" si="47"/>
        <v>1.0282776349614395</v>
      </c>
      <c r="AS60" s="3">
        <f t="shared" si="47"/>
        <v>1.0443864229765014</v>
      </c>
      <c r="AT60" s="3">
        <f>MIN(M60:AS60)</f>
        <v>-8.0729166666666679</v>
      </c>
      <c r="AU60" s="3">
        <f>MAX(M60:AS60)</f>
        <v>5.0397877984084882</v>
      </c>
      <c r="AV60" s="7">
        <f>AVERAGE(M60:AS60)</f>
        <v>0.79315437773812747</v>
      </c>
      <c r="AW60" s="3"/>
      <c r="AX60" s="3"/>
    </row>
    <row r="62" spans="1:50" x14ac:dyDescent="0.15">
      <c r="A62" s="1" t="s">
        <v>28</v>
      </c>
      <c r="B62" s="3">
        <v>462</v>
      </c>
      <c r="C62" s="3">
        <v>465</v>
      </c>
      <c r="D62" s="3">
        <v>481</v>
      </c>
      <c r="E62" s="3">
        <v>492</v>
      </c>
      <c r="F62" s="3">
        <v>466</v>
      </c>
      <c r="G62" s="3">
        <v>411</v>
      </c>
      <c r="H62" s="3">
        <f>MIN(B62:G62)</f>
        <v>411</v>
      </c>
      <c r="I62" s="3">
        <f>MAX(B62:G62)</f>
        <v>492</v>
      </c>
      <c r="J62" s="3">
        <f>AVERAGE(B62:G62)</f>
        <v>462.83333333333331</v>
      </c>
      <c r="M62" s="3">
        <v>199</v>
      </c>
      <c r="N62" s="3">
        <v>197</v>
      </c>
      <c r="O62" s="3">
        <v>194</v>
      </c>
      <c r="P62" s="3">
        <v>207</v>
      </c>
      <c r="Q62" s="3">
        <v>200</v>
      </c>
      <c r="R62" s="3">
        <v>195</v>
      </c>
      <c r="S62" s="3">
        <v>187</v>
      </c>
      <c r="T62" s="3">
        <v>206</v>
      </c>
      <c r="U62" s="3">
        <v>201</v>
      </c>
      <c r="V62" s="3">
        <v>196</v>
      </c>
      <c r="W62" s="3">
        <v>199</v>
      </c>
      <c r="X62" s="3">
        <v>195</v>
      </c>
      <c r="Y62" s="3">
        <v>197</v>
      </c>
      <c r="Z62" s="3">
        <v>195</v>
      </c>
      <c r="AA62" s="3">
        <v>203</v>
      </c>
      <c r="AB62" s="3">
        <v>187</v>
      </c>
      <c r="AC62" s="3">
        <v>190</v>
      </c>
      <c r="AD62" s="3">
        <v>199</v>
      </c>
      <c r="AE62" s="3">
        <v>206</v>
      </c>
      <c r="AF62" s="3">
        <v>201</v>
      </c>
      <c r="AG62" s="3">
        <v>202</v>
      </c>
      <c r="AH62" s="3">
        <v>194</v>
      </c>
      <c r="AI62" s="3">
        <v>196</v>
      </c>
      <c r="AJ62" s="3">
        <v>197</v>
      </c>
      <c r="AK62" s="3">
        <v>197</v>
      </c>
      <c r="AL62" s="3">
        <v>195</v>
      </c>
      <c r="AM62" s="3">
        <v>196</v>
      </c>
      <c r="AN62" s="3">
        <v>202</v>
      </c>
      <c r="AO62" s="3">
        <v>201</v>
      </c>
      <c r="AP62" s="3">
        <v>193</v>
      </c>
      <c r="AQ62" s="3">
        <v>198</v>
      </c>
      <c r="AR62" s="3">
        <v>198</v>
      </c>
      <c r="AS62" s="3">
        <v>195</v>
      </c>
      <c r="AT62" s="3">
        <f>MIN(M62:AS62)</f>
        <v>187</v>
      </c>
      <c r="AU62" s="3">
        <f>MAX(M62:AS62)</f>
        <v>207</v>
      </c>
      <c r="AV62" s="3">
        <f>AVERAGE(M62:AS62)</f>
        <v>197.5151515151515</v>
      </c>
    </row>
    <row r="63" spans="1:50" x14ac:dyDescent="0.15">
      <c r="A63" s="1" t="s">
        <v>28</v>
      </c>
      <c r="B63" s="3">
        <v>248</v>
      </c>
      <c r="C63" s="3">
        <v>247</v>
      </c>
      <c r="D63" s="3">
        <v>251</v>
      </c>
      <c r="E63" s="3">
        <v>260</v>
      </c>
      <c r="F63" s="3">
        <v>257</v>
      </c>
      <c r="G63" s="3">
        <v>246</v>
      </c>
      <c r="H63" s="3">
        <f>MIN(B63:G63)</f>
        <v>246</v>
      </c>
      <c r="I63" s="3">
        <f>MAX(B63:G63)</f>
        <v>260</v>
      </c>
      <c r="J63" s="3">
        <f>AVERAGE(B63:G63)</f>
        <v>251.5</v>
      </c>
      <c r="M63" s="3">
        <v>196</v>
      </c>
      <c r="N63" s="3">
        <v>197</v>
      </c>
      <c r="O63" s="3">
        <v>192</v>
      </c>
      <c r="P63" s="3">
        <v>201</v>
      </c>
      <c r="Q63" s="3">
        <v>196</v>
      </c>
      <c r="R63" s="3">
        <v>194</v>
      </c>
      <c r="S63" s="3">
        <v>198</v>
      </c>
      <c r="T63" s="3">
        <v>201</v>
      </c>
      <c r="U63" s="3">
        <v>196</v>
      </c>
      <c r="V63" s="3">
        <v>194</v>
      </c>
      <c r="W63" s="3">
        <v>189</v>
      </c>
      <c r="X63" s="3">
        <v>194</v>
      </c>
      <c r="Y63" s="3">
        <v>189</v>
      </c>
      <c r="Z63" s="3">
        <v>192</v>
      </c>
      <c r="AA63" s="3">
        <v>201</v>
      </c>
      <c r="AB63" s="3">
        <v>189</v>
      </c>
      <c r="AC63" s="3">
        <v>185</v>
      </c>
      <c r="AD63" s="3">
        <v>196</v>
      </c>
      <c r="AE63" s="3">
        <v>197</v>
      </c>
      <c r="AF63" s="3">
        <v>187</v>
      </c>
      <c r="AG63" s="3">
        <v>198</v>
      </c>
      <c r="AH63" s="3">
        <v>191</v>
      </c>
      <c r="AI63" s="3">
        <v>187</v>
      </c>
      <c r="AJ63" s="3">
        <v>194</v>
      </c>
      <c r="AK63" s="3">
        <v>193</v>
      </c>
      <c r="AL63" s="3">
        <v>193</v>
      </c>
      <c r="AM63" s="3">
        <v>194</v>
      </c>
      <c r="AN63" s="3">
        <v>202</v>
      </c>
      <c r="AO63" s="3">
        <v>198</v>
      </c>
      <c r="AP63" s="3">
        <v>185</v>
      </c>
      <c r="AQ63" s="3">
        <v>195</v>
      </c>
      <c r="AR63" s="3">
        <v>194</v>
      </c>
      <c r="AS63" s="3">
        <v>187</v>
      </c>
      <c r="AT63" s="3">
        <f>MIN(M63:AS63)</f>
        <v>185</v>
      </c>
      <c r="AU63" s="3">
        <f>MAX(M63:AS63)</f>
        <v>202</v>
      </c>
      <c r="AV63" s="3">
        <f>AVERAGE(M63:AS63)</f>
        <v>193.78787878787878</v>
      </c>
    </row>
    <row r="64" spans="1:50" x14ac:dyDescent="0.15">
      <c r="A64" s="6" t="s">
        <v>39</v>
      </c>
      <c r="B64" s="3">
        <f t="shared" ref="B64:G64" si="48">B62-B63</f>
        <v>214</v>
      </c>
      <c r="C64" s="3">
        <f t="shared" si="48"/>
        <v>218</v>
      </c>
      <c r="D64" s="3">
        <f t="shared" si="48"/>
        <v>230</v>
      </c>
      <c r="E64" s="3">
        <f t="shared" si="48"/>
        <v>232</v>
      </c>
      <c r="F64" s="3">
        <f t="shared" si="48"/>
        <v>209</v>
      </c>
      <c r="G64" s="3">
        <f t="shared" si="48"/>
        <v>165</v>
      </c>
      <c r="H64" s="3">
        <f>MIN(B64:G64)</f>
        <v>165</v>
      </c>
      <c r="I64" s="3">
        <f>MAX(B64:G64)</f>
        <v>232</v>
      </c>
      <c r="J64" s="3">
        <f>AVERAGE(B64:G64)</f>
        <v>211.33333333333334</v>
      </c>
      <c r="M64" s="3">
        <f t="shared" ref="M64:AS64" si="49">M62-M63</f>
        <v>3</v>
      </c>
      <c r="N64" s="3">
        <f t="shared" si="49"/>
        <v>0</v>
      </c>
      <c r="O64" s="3">
        <f t="shared" si="49"/>
        <v>2</v>
      </c>
      <c r="P64" s="3">
        <f t="shared" si="49"/>
        <v>6</v>
      </c>
      <c r="Q64" s="3">
        <f t="shared" si="49"/>
        <v>4</v>
      </c>
      <c r="R64" s="3">
        <f t="shared" si="49"/>
        <v>1</v>
      </c>
      <c r="S64" s="3">
        <f t="shared" si="49"/>
        <v>-11</v>
      </c>
      <c r="T64" s="3">
        <f t="shared" si="49"/>
        <v>5</v>
      </c>
      <c r="U64" s="3">
        <f t="shared" si="49"/>
        <v>5</v>
      </c>
      <c r="V64" s="3">
        <f t="shared" si="49"/>
        <v>2</v>
      </c>
      <c r="W64" s="3">
        <f t="shared" si="49"/>
        <v>10</v>
      </c>
      <c r="X64" s="3">
        <f t="shared" si="49"/>
        <v>1</v>
      </c>
      <c r="Y64" s="3">
        <f t="shared" si="49"/>
        <v>8</v>
      </c>
      <c r="Z64" s="3">
        <f t="shared" si="49"/>
        <v>3</v>
      </c>
      <c r="AA64" s="3">
        <f t="shared" si="49"/>
        <v>2</v>
      </c>
      <c r="AB64" s="3">
        <f t="shared" si="49"/>
        <v>-2</v>
      </c>
      <c r="AC64" s="3">
        <f t="shared" si="49"/>
        <v>5</v>
      </c>
      <c r="AD64" s="3">
        <f t="shared" si="49"/>
        <v>3</v>
      </c>
      <c r="AE64" s="3">
        <f t="shared" si="49"/>
        <v>9</v>
      </c>
      <c r="AF64" s="3">
        <f t="shared" si="49"/>
        <v>14</v>
      </c>
      <c r="AG64" s="3">
        <f t="shared" si="49"/>
        <v>4</v>
      </c>
      <c r="AH64" s="3">
        <f t="shared" si="49"/>
        <v>3</v>
      </c>
      <c r="AI64" s="3">
        <f t="shared" si="49"/>
        <v>9</v>
      </c>
      <c r="AJ64" s="3">
        <f t="shared" si="49"/>
        <v>3</v>
      </c>
      <c r="AK64" s="3">
        <f t="shared" si="49"/>
        <v>4</v>
      </c>
      <c r="AL64" s="3">
        <f t="shared" si="49"/>
        <v>2</v>
      </c>
      <c r="AM64" s="3">
        <f t="shared" si="49"/>
        <v>2</v>
      </c>
      <c r="AN64" s="3">
        <f t="shared" si="49"/>
        <v>0</v>
      </c>
      <c r="AO64" s="3">
        <f t="shared" si="49"/>
        <v>3</v>
      </c>
      <c r="AP64" s="3">
        <f t="shared" si="49"/>
        <v>8</v>
      </c>
      <c r="AQ64" s="3">
        <f t="shared" si="49"/>
        <v>3</v>
      </c>
      <c r="AR64" s="3">
        <f t="shared" si="49"/>
        <v>4</v>
      </c>
      <c r="AS64" s="3">
        <f t="shared" si="49"/>
        <v>8</v>
      </c>
      <c r="AT64" s="3">
        <f>MIN(M64:AS64)</f>
        <v>-11</v>
      </c>
      <c r="AU64" s="3">
        <f>MAX(M64:AS64)</f>
        <v>14</v>
      </c>
      <c r="AV64" s="3">
        <f>AVERAGE(M64:AS64)</f>
        <v>3.7272727272727271</v>
      </c>
    </row>
    <row r="65" spans="1:50" customFormat="1" x14ac:dyDescent="0.15">
      <c r="A65" s="6" t="s">
        <v>40</v>
      </c>
      <c r="B65" s="3">
        <f t="shared" ref="B65:G65" si="50">B64/B62*100</f>
        <v>46.320346320346324</v>
      </c>
      <c r="C65" s="3">
        <f t="shared" si="50"/>
        <v>46.881720430107528</v>
      </c>
      <c r="D65" s="3">
        <f t="shared" si="50"/>
        <v>47.817047817047822</v>
      </c>
      <c r="E65" s="3">
        <f t="shared" si="50"/>
        <v>47.154471544715449</v>
      </c>
      <c r="F65" s="3">
        <f t="shared" si="50"/>
        <v>44.849785407725321</v>
      </c>
      <c r="G65" s="3">
        <f t="shared" si="50"/>
        <v>40.145985401459853</v>
      </c>
      <c r="H65" s="3">
        <f>MIN(B65:G65)</f>
        <v>40.145985401459853</v>
      </c>
      <c r="I65" s="3">
        <f>MAX(B65:G65)</f>
        <v>47.817047817047822</v>
      </c>
      <c r="J65" s="7">
        <f>AVERAGE(B65:G65)</f>
        <v>45.52822615356704</v>
      </c>
      <c r="K65" s="3"/>
      <c r="L65" s="3"/>
      <c r="M65" s="3">
        <f t="shared" ref="M65:AS65" si="51">M64/M62*100</f>
        <v>1.5075376884422109</v>
      </c>
      <c r="N65" s="3">
        <f t="shared" si="51"/>
        <v>0</v>
      </c>
      <c r="O65" s="3">
        <f t="shared" si="51"/>
        <v>1.0309278350515463</v>
      </c>
      <c r="P65" s="3">
        <f t="shared" si="51"/>
        <v>2.8985507246376812</v>
      </c>
      <c r="Q65" s="3">
        <f t="shared" si="51"/>
        <v>2</v>
      </c>
      <c r="R65" s="3">
        <f t="shared" si="51"/>
        <v>0.51282051282051277</v>
      </c>
      <c r="S65" s="3">
        <f t="shared" si="51"/>
        <v>-5.8823529411764701</v>
      </c>
      <c r="T65" s="3">
        <f t="shared" si="51"/>
        <v>2.4271844660194173</v>
      </c>
      <c r="U65" s="3">
        <f t="shared" si="51"/>
        <v>2.4875621890547266</v>
      </c>
      <c r="V65" s="3">
        <f t="shared" si="51"/>
        <v>1.0204081632653061</v>
      </c>
      <c r="W65" s="3">
        <f t="shared" si="51"/>
        <v>5.025125628140704</v>
      </c>
      <c r="X65" s="3">
        <f t="shared" si="51"/>
        <v>0.51282051282051277</v>
      </c>
      <c r="Y65" s="3">
        <f t="shared" si="51"/>
        <v>4.0609137055837561</v>
      </c>
      <c r="Z65" s="3">
        <f t="shared" si="51"/>
        <v>1.5384615384615385</v>
      </c>
      <c r="AA65" s="3">
        <f t="shared" si="51"/>
        <v>0.98522167487684731</v>
      </c>
      <c r="AB65" s="3">
        <f t="shared" si="51"/>
        <v>-1.0695187165775399</v>
      </c>
      <c r="AC65" s="3">
        <f t="shared" si="51"/>
        <v>2.6315789473684208</v>
      </c>
      <c r="AD65" s="3">
        <f t="shared" si="51"/>
        <v>1.5075376884422109</v>
      </c>
      <c r="AE65" s="3">
        <f t="shared" si="51"/>
        <v>4.3689320388349513</v>
      </c>
      <c r="AF65" s="3">
        <f t="shared" si="51"/>
        <v>6.9651741293532341</v>
      </c>
      <c r="AG65" s="3">
        <f t="shared" si="51"/>
        <v>1.9801980198019802</v>
      </c>
      <c r="AH65" s="3">
        <f t="shared" si="51"/>
        <v>1.5463917525773196</v>
      </c>
      <c r="AI65" s="3">
        <f t="shared" si="51"/>
        <v>4.591836734693878</v>
      </c>
      <c r="AJ65" s="3">
        <f t="shared" si="51"/>
        <v>1.5228426395939088</v>
      </c>
      <c r="AK65" s="3">
        <f t="shared" si="51"/>
        <v>2.030456852791878</v>
      </c>
      <c r="AL65" s="3">
        <f t="shared" si="51"/>
        <v>1.0256410256410255</v>
      </c>
      <c r="AM65" s="3">
        <f t="shared" si="51"/>
        <v>1.0204081632653061</v>
      </c>
      <c r="AN65" s="3">
        <f t="shared" si="51"/>
        <v>0</v>
      </c>
      <c r="AO65" s="3">
        <f t="shared" si="51"/>
        <v>1.4925373134328357</v>
      </c>
      <c r="AP65" s="3">
        <f t="shared" si="51"/>
        <v>4.1450777202072544</v>
      </c>
      <c r="AQ65" s="3">
        <f t="shared" si="51"/>
        <v>1.5151515151515151</v>
      </c>
      <c r="AR65" s="3">
        <f t="shared" si="51"/>
        <v>2.0202020202020203</v>
      </c>
      <c r="AS65" s="3">
        <f t="shared" si="51"/>
        <v>4.1025641025641022</v>
      </c>
      <c r="AT65" s="3">
        <f>MIN(M65:AS65)</f>
        <v>-5.8823529411764701</v>
      </c>
      <c r="AU65" s="3">
        <f>MAX(M65:AS65)</f>
        <v>6.9651741293532341</v>
      </c>
      <c r="AV65" s="7">
        <f>AVERAGE(M65:AS65)</f>
        <v>1.8643088983437153</v>
      </c>
      <c r="AW65" s="3"/>
      <c r="AX65" s="3"/>
    </row>
    <row r="66" spans="1:50" customFormat="1" x14ac:dyDescent="0.15">
      <c r="A66" s="6" t="s">
        <v>41</v>
      </c>
      <c r="B66" s="3">
        <f t="shared" ref="B66:G66" si="52">B64/B63*100</f>
        <v>86.290322580645167</v>
      </c>
      <c r="C66" s="3">
        <f t="shared" si="52"/>
        <v>88.259109311740886</v>
      </c>
      <c r="D66" s="3">
        <f t="shared" si="52"/>
        <v>91.633466135458164</v>
      </c>
      <c r="E66" s="3">
        <f t="shared" si="52"/>
        <v>89.230769230769241</v>
      </c>
      <c r="F66" s="3">
        <f t="shared" si="52"/>
        <v>81.322957198443575</v>
      </c>
      <c r="G66" s="3">
        <f t="shared" si="52"/>
        <v>67.073170731707322</v>
      </c>
      <c r="H66" s="3">
        <f>MIN(B66:G66)</f>
        <v>67.073170731707322</v>
      </c>
      <c r="I66" s="3">
        <f>MAX(B66:G66)</f>
        <v>91.633466135458164</v>
      </c>
      <c r="J66" s="7">
        <f>AVERAGE(B66:G66)</f>
        <v>83.968299198127383</v>
      </c>
      <c r="K66" s="3"/>
      <c r="L66" s="3"/>
      <c r="M66" s="3">
        <f t="shared" ref="M66:AS66" si="53">M64/M63*100</f>
        <v>1.5306122448979591</v>
      </c>
      <c r="N66" s="3">
        <f t="shared" si="53"/>
        <v>0</v>
      </c>
      <c r="O66" s="3">
        <f t="shared" si="53"/>
        <v>1.0416666666666665</v>
      </c>
      <c r="P66" s="3">
        <f t="shared" si="53"/>
        <v>2.9850746268656714</v>
      </c>
      <c r="Q66" s="3">
        <f t="shared" si="53"/>
        <v>2.0408163265306123</v>
      </c>
      <c r="R66" s="3">
        <f t="shared" si="53"/>
        <v>0.51546391752577314</v>
      </c>
      <c r="S66" s="3">
        <f t="shared" si="53"/>
        <v>-5.5555555555555554</v>
      </c>
      <c r="T66" s="3">
        <f t="shared" si="53"/>
        <v>2.4875621890547266</v>
      </c>
      <c r="U66" s="3">
        <f t="shared" si="53"/>
        <v>2.5510204081632653</v>
      </c>
      <c r="V66" s="3">
        <f t="shared" si="53"/>
        <v>1.0309278350515463</v>
      </c>
      <c r="W66" s="3">
        <f t="shared" si="53"/>
        <v>5.2910052910052912</v>
      </c>
      <c r="X66" s="3">
        <f t="shared" si="53"/>
        <v>0.51546391752577314</v>
      </c>
      <c r="Y66" s="3">
        <f t="shared" si="53"/>
        <v>4.2328042328042326</v>
      </c>
      <c r="Z66" s="3">
        <f t="shared" si="53"/>
        <v>1.5625</v>
      </c>
      <c r="AA66" s="3">
        <f t="shared" si="53"/>
        <v>0.99502487562189057</v>
      </c>
      <c r="AB66" s="3">
        <f t="shared" si="53"/>
        <v>-1.0582010582010581</v>
      </c>
      <c r="AC66" s="3">
        <f t="shared" si="53"/>
        <v>2.7027027027027026</v>
      </c>
      <c r="AD66" s="3">
        <f t="shared" si="53"/>
        <v>1.5306122448979591</v>
      </c>
      <c r="AE66" s="3">
        <f t="shared" si="53"/>
        <v>4.5685279187817258</v>
      </c>
      <c r="AF66" s="3">
        <f t="shared" si="53"/>
        <v>7.4866310160427805</v>
      </c>
      <c r="AG66" s="3">
        <f t="shared" si="53"/>
        <v>2.0202020202020203</v>
      </c>
      <c r="AH66" s="3">
        <f t="shared" si="53"/>
        <v>1.5706806282722512</v>
      </c>
      <c r="AI66" s="3">
        <f t="shared" si="53"/>
        <v>4.8128342245989302</v>
      </c>
      <c r="AJ66" s="3">
        <f t="shared" si="53"/>
        <v>1.5463917525773196</v>
      </c>
      <c r="AK66" s="3">
        <f t="shared" si="53"/>
        <v>2.0725388601036272</v>
      </c>
      <c r="AL66" s="3">
        <f t="shared" si="53"/>
        <v>1.0362694300518136</v>
      </c>
      <c r="AM66" s="3">
        <f t="shared" si="53"/>
        <v>1.0309278350515463</v>
      </c>
      <c r="AN66" s="3">
        <f t="shared" si="53"/>
        <v>0</v>
      </c>
      <c r="AO66" s="3">
        <f t="shared" si="53"/>
        <v>1.5151515151515151</v>
      </c>
      <c r="AP66" s="3">
        <f t="shared" si="53"/>
        <v>4.3243243243243246</v>
      </c>
      <c r="AQ66" s="3">
        <f t="shared" si="53"/>
        <v>1.5384615384615385</v>
      </c>
      <c r="AR66" s="3">
        <f t="shared" si="53"/>
        <v>2.0618556701030926</v>
      </c>
      <c r="AS66" s="3">
        <f t="shared" si="53"/>
        <v>4.2780748663101598</v>
      </c>
      <c r="AT66" s="3">
        <f>MIN(M66:AS66)</f>
        <v>-5.5555555555555554</v>
      </c>
      <c r="AU66" s="3">
        <f>MAX(M66:AS66)</f>
        <v>7.4866310160427805</v>
      </c>
      <c r="AV66" s="7">
        <f>AVERAGE(M66:AS66)</f>
        <v>1.9473446201693971</v>
      </c>
      <c r="AW66" s="3"/>
      <c r="AX66" s="3"/>
    </row>
    <row r="72" spans="1:50" x14ac:dyDescent="0.15">
      <c r="A72" s="5" t="s">
        <v>38</v>
      </c>
    </row>
    <row r="73" spans="1:50" x14ac:dyDescent="0.15">
      <c r="A73" s="1" t="s">
        <v>32</v>
      </c>
      <c r="B73" s="3">
        <v>8397</v>
      </c>
      <c r="C73" s="3">
        <v>8432</v>
      </c>
      <c r="D73" s="3">
        <v>8371</v>
      </c>
      <c r="E73" s="3">
        <v>8384</v>
      </c>
      <c r="F73" s="3">
        <v>8397</v>
      </c>
      <c r="G73" s="3">
        <v>8094</v>
      </c>
      <c r="H73" s="3">
        <f>MIN(B73:G73)</f>
        <v>8094</v>
      </c>
      <c r="I73" s="3">
        <f>MAX(B73:G73)</f>
        <v>8432</v>
      </c>
      <c r="J73" s="3">
        <f>AVERAGE(B73:G73)</f>
        <v>8345.8333333333339</v>
      </c>
      <c r="M73" s="3">
        <v>3302</v>
      </c>
      <c r="N73" s="3">
        <v>3283</v>
      </c>
      <c r="O73" s="3">
        <v>3194</v>
      </c>
      <c r="P73" s="3">
        <v>3367</v>
      </c>
      <c r="Q73" s="3">
        <v>3289</v>
      </c>
      <c r="R73" s="3">
        <v>3287</v>
      </c>
      <c r="S73" s="3">
        <v>3296</v>
      </c>
      <c r="T73" s="3">
        <v>3387</v>
      </c>
      <c r="U73" s="3">
        <v>3286</v>
      </c>
      <c r="V73" s="3">
        <v>3215</v>
      </c>
      <c r="W73" s="3">
        <v>3245</v>
      </c>
      <c r="X73" s="3">
        <v>3265</v>
      </c>
      <c r="Y73" s="3">
        <v>3239</v>
      </c>
      <c r="Z73" s="3">
        <v>3198</v>
      </c>
      <c r="AA73" s="3">
        <v>3337</v>
      </c>
      <c r="AB73" s="3">
        <v>3139</v>
      </c>
      <c r="AC73" s="3">
        <v>3211</v>
      </c>
      <c r="AD73" s="3">
        <v>3254</v>
      </c>
      <c r="AE73" s="3">
        <v>3374</v>
      </c>
      <c r="AF73" s="3">
        <v>3326</v>
      </c>
      <c r="AG73" s="3">
        <v>3300</v>
      </c>
      <c r="AH73" s="3">
        <v>3203</v>
      </c>
      <c r="AI73" s="3">
        <v>3215</v>
      </c>
      <c r="AJ73" s="3">
        <v>3234</v>
      </c>
      <c r="AK73" s="3">
        <v>3249</v>
      </c>
      <c r="AL73" s="3">
        <v>3205</v>
      </c>
      <c r="AM73" s="3">
        <v>3233</v>
      </c>
      <c r="AN73" s="3">
        <v>3411</v>
      </c>
      <c r="AO73" s="3">
        <v>3098</v>
      </c>
      <c r="AP73" s="3">
        <v>3090</v>
      </c>
      <c r="AQ73" s="3">
        <v>3245</v>
      </c>
      <c r="AR73" s="3">
        <v>3244</v>
      </c>
      <c r="AS73" s="3">
        <v>3252</v>
      </c>
      <c r="AT73" s="3">
        <f>MIN(M73:AS73)</f>
        <v>3090</v>
      </c>
      <c r="AU73" s="3">
        <f>MAX(M73:AS73)</f>
        <v>3411</v>
      </c>
      <c r="AV73" s="3">
        <f>AVERAGE(M73:AS73)</f>
        <v>3256.757575757576</v>
      </c>
    </row>
    <row r="74" spans="1:50" x14ac:dyDescent="0.15">
      <c r="A74" s="1" t="s">
        <v>32</v>
      </c>
      <c r="B74" s="3">
        <v>8342</v>
      </c>
      <c r="C74" s="3">
        <v>8325</v>
      </c>
      <c r="D74" s="3">
        <v>8299</v>
      </c>
      <c r="E74" s="3">
        <v>8350</v>
      </c>
      <c r="F74" s="3">
        <v>8316</v>
      </c>
      <c r="G74" s="3">
        <v>8299</v>
      </c>
      <c r="H74" s="3">
        <f>MIN(B74:G74)</f>
        <v>8299</v>
      </c>
      <c r="I74" s="3">
        <f>MAX(B74:G74)</f>
        <v>8350</v>
      </c>
      <c r="J74" s="3">
        <f>AVERAGE(B74:G74)</f>
        <v>8321.8333333333339</v>
      </c>
      <c r="M74" s="3">
        <v>3303</v>
      </c>
      <c r="N74" s="3">
        <v>3276</v>
      </c>
      <c r="O74" s="3">
        <v>3188</v>
      </c>
      <c r="P74" s="3">
        <v>3368</v>
      </c>
      <c r="Q74" s="3">
        <v>2984</v>
      </c>
      <c r="R74" s="3">
        <v>3287</v>
      </c>
      <c r="S74" s="3">
        <v>3286</v>
      </c>
      <c r="T74" s="3">
        <v>3349</v>
      </c>
      <c r="U74" s="3">
        <v>3289</v>
      </c>
      <c r="V74" s="3">
        <v>3216</v>
      </c>
      <c r="W74" s="3">
        <v>3243</v>
      </c>
      <c r="X74" s="3">
        <v>3265</v>
      </c>
      <c r="Y74" s="3">
        <v>3098</v>
      </c>
      <c r="Z74" s="3">
        <v>3200</v>
      </c>
      <c r="AA74" s="3">
        <v>3340</v>
      </c>
      <c r="AB74" s="3">
        <v>3139</v>
      </c>
      <c r="AC74" s="3">
        <v>3202</v>
      </c>
      <c r="AD74" s="3">
        <v>3255</v>
      </c>
      <c r="AE74" s="3">
        <v>3373</v>
      </c>
      <c r="AF74" s="3">
        <v>3326</v>
      </c>
      <c r="AG74" s="3">
        <v>3301</v>
      </c>
      <c r="AH74" s="3">
        <v>3199</v>
      </c>
      <c r="AI74" s="3">
        <v>3213</v>
      </c>
      <c r="AJ74" s="3">
        <v>3227</v>
      </c>
      <c r="AK74" s="3">
        <v>3253</v>
      </c>
      <c r="AL74" s="3">
        <v>3204</v>
      </c>
      <c r="AM74" s="3">
        <v>3237</v>
      </c>
      <c r="AN74" s="3">
        <v>3408</v>
      </c>
      <c r="AO74" s="3">
        <v>3300</v>
      </c>
      <c r="AP74" s="3">
        <v>3150</v>
      </c>
      <c r="AQ74" s="3">
        <v>3247</v>
      </c>
      <c r="AR74" s="3">
        <v>3240</v>
      </c>
      <c r="AS74" s="3">
        <v>3246</v>
      </c>
      <c r="AT74" s="3">
        <f>MIN(M74:AS74)</f>
        <v>2984</v>
      </c>
      <c r="AU74" s="3">
        <f>MAX(M74:AS74)</f>
        <v>3408</v>
      </c>
      <c r="AV74" s="3">
        <f>AVERAGE(M74:AS74)</f>
        <v>3248.848484848485</v>
      </c>
    </row>
    <row r="75" spans="1:50" x14ac:dyDescent="0.15">
      <c r="A75" s="6" t="s">
        <v>39</v>
      </c>
      <c r="B75" s="3">
        <f t="shared" ref="B75:G75" si="54">B73-B74</f>
        <v>55</v>
      </c>
      <c r="C75" s="3">
        <f t="shared" si="54"/>
        <v>107</v>
      </c>
      <c r="D75" s="3">
        <f t="shared" si="54"/>
        <v>72</v>
      </c>
      <c r="E75" s="3">
        <f t="shared" si="54"/>
        <v>34</v>
      </c>
      <c r="F75" s="3">
        <f t="shared" si="54"/>
        <v>81</v>
      </c>
      <c r="G75" s="3">
        <f t="shared" si="54"/>
        <v>-205</v>
      </c>
      <c r="H75" s="3">
        <f>MIN(B75:G75)</f>
        <v>-205</v>
      </c>
      <c r="I75" s="3">
        <f>MAX(B75:G75)</f>
        <v>107</v>
      </c>
      <c r="J75" s="3">
        <f>AVERAGE(B75:G75)</f>
        <v>24</v>
      </c>
      <c r="M75" s="3">
        <f t="shared" ref="M75:AS75" si="55">M73-M74</f>
        <v>-1</v>
      </c>
      <c r="N75" s="3">
        <f t="shared" si="55"/>
        <v>7</v>
      </c>
      <c r="O75" s="3">
        <f t="shared" si="55"/>
        <v>6</v>
      </c>
      <c r="P75" s="3">
        <f t="shared" si="55"/>
        <v>-1</v>
      </c>
      <c r="Q75" s="3">
        <f t="shared" si="55"/>
        <v>305</v>
      </c>
      <c r="R75" s="3">
        <f t="shared" si="55"/>
        <v>0</v>
      </c>
      <c r="S75" s="3">
        <f t="shared" si="55"/>
        <v>10</v>
      </c>
      <c r="T75" s="3">
        <f t="shared" si="55"/>
        <v>38</v>
      </c>
      <c r="U75" s="3">
        <f t="shared" si="55"/>
        <v>-3</v>
      </c>
      <c r="V75" s="3">
        <f t="shared" si="55"/>
        <v>-1</v>
      </c>
      <c r="W75" s="3">
        <f t="shared" si="55"/>
        <v>2</v>
      </c>
      <c r="X75" s="3">
        <f t="shared" si="55"/>
        <v>0</v>
      </c>
      <c r="Y75" s="3">
        <f t="shared" si="55"/>
        <v>141</v>
      </c>
      <c r="Z75" s="3">
        <f t="shared" si="55"/>
        <v>-2</v>
      </c>
      <c r="AA75" s="3">
        <f t="shared" si="55"/>
        <v>-3</v>
      </c>
      <c r="AB75" s="3">
        <f t="shared" si="55"/>
        <v>0</v>
      </c>
      <c r="AC75" s="3">
        <f t="shared" si="55"/>
        <v>9</v>
      </c>
      <c r="AD75" s="3">
        <f t="shared" si="55"/>
        <v>-1</v>
      </c>
      <c r="AE75" s="3">
        <f t="shared" si="55"/>
        <v>1</v>
      </c>
      <c r="AF75" s="3">
        <f t="shared" si="55"/>
        <v>0</v>
      </c>
      <c r="AG75" s="3">
        <f t="shared" si="55"/>
        <v>-1</v>
      </c>
      <c r="AH75" s="3">
        <f t="shared" si="55"/>
        <v>4</v>
      </c>
      <c r="AI75" s="3">
        <f t="shared" si="55"/>
        <v>2</v>
      </c>
      <c r="AJ75" s="3">
        <f t="shared" si="55"/>
        <v>7</v>
      </c>
      <c r="AK75" s="3">
        <f t="shared" si="55"/>
        <v>-4</v>
      </c>
      <c r="AL75" s="3">
        <f t="shared" si="55"/>
        <v>1</v>
      </c>
      <c r="AM75" s="3">
        <f t="shared" si="55"/>
        <v>-4</v>
      </c>
      <c r="AN75" s="3">
        <f t="shared" si="55"/>
        <v>3</v>
      </c>
      <c r="AO75" s="3">
        <f t="shared" si="55"/>
        <v>-202</v>
      </c>
      <c r="AP75" s="3">
        <f t="shared" si="55"/>
        <v>-60</v>
      </c>
      <c r="AQ75" s="3">
        <f t="shared" si="55"/>
        <v>-2</v>
      </c>
      <c r="AR75" s="3">
        <f t="shared" si="55"/>
        <v>4</v>
      </c>
      <c r="AS75" s="3">
        <f t="shared" si="55"/>
        <v>6</v>
      </c>
      <c r="AT75" s="3">
        <f>MIN(M75:AS75)</f>
        <v>-202</v>
      </c>
      <c r="AU75" s="3">
        <f>MAX(M75:AS75)</f>
        <v>305</v>
      </c>
      <c r="AV75" s="3">
        <f>AVERAGE(M75:AS75)</f>
        <v>7.9090909090909092</v>
      </c>
    </row>
    <row r="76" spans="1:50" customFormat="1" x14ac:dyDescent="0.15">
      <c r="A76" s="6" t="s">
        <v>40</v>
      </c>
      <c r="B76" s="3">
        <f t="shared" ref="B76:G76" si="56">B75/B73*100</f>
        <v>0.65499583184470644</v>
      </c>
      <c r="C76" s="3">
        <f t="shared" si="56"/>
        <v>1.2689753320683113</v>
      </c>
      <c r="D76" s="3">
        <f t="shared" si="56"/>
        <v>0.86011229243817944</v>
      </c>
      <c r="E76" s="3">
        <f t="shared" si="56"/>
        <v>0.40553435114503816</v>
      </c>
      <c r="F76" s="3">
        <f t="shared" si="56"/>
        <v>0.96463022508038598</v>
      </c>
      <c r="G76" s="3">
        <f t="shared" si="56"/>
        <v>-2.5327403014578702</v>
      </c>
      <c r="H76" s="3">
        <f>MIN(B76:G76)</f>
        <v>-2.5327403014578702</v>
      </c>
      <c r="I76" s="3">
        <f>MAX(B76:G76)</f>
        <v>1.2689753320683113</v>
      </c>
      <c r="J76" s="7">
        <f>AVERAGE(B76:G76)</f>
        <v>0.27025128851979185</v>
      </c>
      <c r="K76" s="3"/>
      <c r="L76" s="3"/>
      <c r="M76" s="3">
        <f t="shared" ref="M76:AS76" si="57">M75/M73*100</f>
        <v>-3.0284675953967291E-2</v>
      </c>
      <c r="N76" s="3">
        <f t="shared" si="57"/>
        <v>0.21321961620469082</v>
      </c>
      <c r="O76" s="3">
        <f t="shared" si="57"/>
        <v>0.18785222291797118</v>
      </c>
      <c r="P76" s="3">
        <f t="shared" si="57"/>
        <v>-2.9700029700029697E-2</v>
      </c>
      <c r="Q76" s="3">
        <f t="shared" si="57"/>
        <v>9.2733353602918811</v>
      </c>
      <c r="R76" s="3">
        <f t="shared" si="57"/>
        <v>0</v>
      </c>
      <c r="S76" s="3">
        <f t="shared" si="57"/>
        <v>0.30339805825242716</v>
      </c>
      <c r="T76" s="3">
        <f t="shared" si="57"/>
        <v>1.1219368172423976</v>
      </c>
      <c r="U76" s="3">
        <f t="shared" si="57"/>
        <v>-9.129640900791236E-2</v>
      </c>
      <c r="V76" s="3">
        <f t="shared" si="57"/>
        <v>-3.1104199066874026E-2</v>
      </c>
      <c r="W76" s="3">
        <f t="shared" si="57"/>
        <v>6.1633281972265024E-2</v>
      </c>
      <c r="X76" s="3">
        <f t="shared" si="57"/>
        <v>0</v>
      </c>
      <c r="Y76" s="3">
        <f t="shared" si="57"/>
        <v>4.3531954306884844</v>
      </c>
      <c r="Z76" s="3">
        <f t="shared" si="57"/>
        <v>-6.2539086929330828E-2</v>
      </c>
      <c r="AA76" s="3">
        <f t="shared" si="57"/>
        <v>-8.9901108780341618E-2</v>
      </c>
      <c r="AB76" s="3">
        <f t="shared" si="57"/>
        <v>0</v>
      </c>
      <c r="AC76" s="3">
        <f t="shared" si="57"/>
        <v>0.28028651510432889</v>
      </c>
      <c r="AD76" s="3">
        <f t="shared" si="57"/>
        <v>-3.0731407498463426E-2</v>
      </c>
      <c r="AE76" s="3">
        <f t="shared" si="57"/>
        <v>2.9638411381149969E-2</v>
      </c>
      <c r="AF76" s="3">
        <f t="shared" si="57"/>
        <v>0</v>
      </c>
      <c r="AG76" s="3">
        <f t="shared" si="57"/>
        <v>-3.0303030303030304E-2</v>
      </c>
      <c r="AH76" s="3">
        <f t="shared" si="57"/>
        <v>0.1248829222603809</v>
      </c>
      <c r="AI76" s="3">
        <f t="shared" si="57"/>
        <v>6.2208398133748052E-2</v>
      </c>
      <c r="AJ76" s="3">
        <f t="shared" si="57"/>
        <v>0.21645021645021645</v>
      </c>
      <c r="AK76" s="3">
        <f t="shared" si="57"/>
        <v>-0.12311480455524776</v>
      </c>
      <c r="AL76" s="3">
        <f t="shared" si="57"/>
        <v>3.1201248049921998E-2</v>
      </c>
      <c r="AM76" s="3">
        <f t="shared" si="57"/>
        <v>-0.12372409526755336</v>
      </c>
      <c r="AN76" s="3">
        <f t="shared" si="57"/>
        <v>8.7950747581354446E-2</v>
      </c>
      <c r="AO76" s="3">
        <f t="shared" si="57"/>
        <v>-6.5203357004519038</v>
      </c>
      <c r="AP76" s="3">
        <f t="shared" si="57"/>
        <v>-1.9417475728155338</v>
      </c>
      <c r="AQ76" s="3">
        <f t="shared" si="57"/>
        <v>-6.1633281972265024E-2</v>
      </c>
      <c r="AR76" s="3">
        <f t="shared" si="57"/>
        <v>0.12330456226880394</v>
      </c>
      <c r="AS76" s="3">
        <f t="shared" si="57"/>
        <v>0.18450184501845018</v>
      </c>
      <c r="AT76" s="3">
        <f>MIN(M76:AS76)</f>
        <v>-6.5203357004519038</v>
      </c>
      <c r="AU76" s="3">
        <f>MAX(M76:AS76)</f>
        <v>9.2733353602918811</v>
      </c>
      <c r="AV76" s="7">
        <f>AVERAGE(M76:AS76)</f>
        <v>0.22692667428836419</v>
      </c>
      <c r="AW76" s="3"/>
      <c r="AX76" s="3"/>
    </row>
    <row r="77" spans="1:50" customFormat="1" x14ac:dyDescent="0.15">
      <c r="A77" s="6" t="s">
        <v>41</v>
      </c>
      <c r="B77" s="3">
        <f t="shared" ref="B77:G77" si="58">B75/B74*100</f>
        <v>0.65931431311436106</v>
      </c>
      <c r="C77" s="3">
        <f t="shared" si="58"/>
        <v>1.2852852852852852</v>
      </c>
      <c r="D77" s="3">
        <f t="shared" si="58"/>
        <v>0.86757440655500662</v>
      </c>
      <c r="E77" s="3">
        <f t="shared" si="58"/>
        <v>0.40718562874251502</v>
      </c>
      <c r="F77" s="3">
        <f t="shared" si="58"/>
        <v>0.97402597402597402</v>
      </c>
      <c r="G77" s="3">
        <f t="shared" si="58"/>
        <v>-2.4701771297746715</v>
      </c>
      <c r="H77" s="3">
        <f>MIN(B77:G77)</f>
        <v>-2.4701771297746715</v>
      </c>
      <c r="I77" s="3">
        <f>MAX(B77:G77)</f>
        <v>1.2852852852852852</v>
      </c>
      <c r="J77" s="7">
        <f>AVERAGE(B77:G77)</f>
        <v>0.28720141299141178</v>
      </c>
      <c r="K77" s="3"/>
      <c r="L77" s="3"/>
      <c r="M77" s="3">
        <f t="shared" ref="M77:AS77" si="59">M75/M74*100</f>
        <v>-3.0275507114744173E-2</v>
      </c>
      <c r="N77" s="3">
        <f t="shared" si="59"/>
        <v>0.21367521367521369</v>
      </c>
      <c r="O77" s="3">
        <f t="shared" si="59"/>
        <v>0.18820577164366373</v>
      </c>
      <c r="P77" s="3">
        <f t="shared" si="59"/>
        <v>-2.969121140142518E-2</v>
      </c>
      <c r="Q77" s="3">
        <f t="shared" si="59"/>
        <v>10.221179624664879</v>
      </c>
      <c r="R77" s="3">
        <f t="shared" si="59"/>
        <v>0</v>
      </c>
      <c r="S77" s="3">
        <f t="shared" si="59"/>
        <v>0.30432136335970783</v>
      </c>
      <c r="T77" s="3">
        <f t="shared" si="59"/>
        <v>1.1346670647954613</v>
      </c>
      <c r="U77" s="3">
        <f t="shared" si="59"/>
        <v>-9.1213134691395567E-2</v>
      </c>
      <c r="V77" s="3">
        <f t="shared" si="59"/>
        <v>-3.109452736318408E-2</v>
      </c>
      <c r="W77" s="3">
        <f t="shared" si="59"/>
        <v>6.1671292013567677E-2</v>
      </c>
      <c r="X77" s="3">
        <f t="shared" si="59"/>
        <v>0</v>
      </c>
      <c r="Y77" s="3">
        <f t="shared" si="59"/>
        <v>4.5513234344738542</v>
      </c>
      <c r="Z77" s="3">
        <f t="shared" si="59"/>
        <v>-6.25E-2</v>
      </c>
      <c r="AA77" s="3">
        <f t="shared" si="59"/>
        <v>-8.9820359281437126E-2</v>
      </c>
      <c r="AB77" s="3">
        <f t="shared" si="59"/>
        <v>0</v>
      </c>
      <c r="AC77" s="3">
        <f t="shared" si="59"/>
        <v>0.28107432854465958</v>
      </c>
      <c r="AD77" s="3">
        <f t="shared" si="59"/>
        <v>-3.0721966205837174E-2</v>
      </c>
      <c r="AE77" s="3">
        <f t="shared" si="59"/>
        <v>2.9647198339756892E-2</v>
      </c>
      <c r="AF77" s="3">
        <f t="shared" si="59"/>
        <v>0</v>
      </c>
      <c r="AG77" s="3">
        <f t="shared" si="59"/>
        <v>-3.0293850348379277E-2</v>
      </c>
      <c r="AH77" s="3">
        <f t="shared" si="59"/>
        <v>0.12503907471084713</v>
      </c>
      <c r="AI77" s="3">
        <f t="shared" si="59"/>
        <v>6.2247121070650488E-2</v>
      </c>
      <c r="AJ77" s="3">
        <f t="shared" si="59"/>
        <v>0.21691973969631237</v>
      </c>
      <c r="AK77" s="3">
        <f t="shared" si="59"/>
        <v>-0.12296341838303104</v>
      </c>
      <c r="AL77" s="3">
        <f t="shared" si="59"/>
        <v>3.1210986267166042E-2</v>
      </c>
      <c r="AM77" s="3">
        <f t="shared" si="59"/>
        <v>-0.1235712079085573</v>
      </c>
      <c r="AN77" s="3">
        <f t="shared" si="59"/>
        <v>8.8028169014084515E-2</v>
      </c>
      <c r="AO77" s="3">
        <f t="shared" si="59"/>
        <v>-6.1212121212121211</v>
      </c>
      <c r="AP77" s="3">
        <f t="shared" si="59"/>
        <v>-1.9047619047619049</v>
      </c>
      <c r="AQ77" s="3">
        <f t="shared" si="59"/>
        <v>-6.1595318755774564E-2</v>
      </c>
      <c r="AR77" s="3">
        <f t="shared" si="59"/>
        <v>0.12345679012345678</v>
      </c>
      <c r="AS77" s="3">
        <f t="shared" si="59"/>
        <v>0.18484288354898337</v>
      </c>
      <c r="AT77" s="3">
        <f>MIN(M77:AS77)</f>
        <v>-6.1212121212121211</v>
      </c>
      <c r="AU77" s="3">
        <f>MAX(M77:AS77)</f>
        <v>10.221179624664879</v>
      </c>
      <c r="AV77" s="7">
        <f>AVERAGE(M77:AS77)</f>
        <v>0.27538774328831739</v>
      </c>
      <c r="AW77" s="3"/>
      <c r="AX77" s="3"/>
    </row>
    <row r="79" spans="1:50" x14ac:dyDescent="0.15">
      <c r="A79" s="1" t="s">
        <v>33</v>
      </c>
      <c r="B79" s="3">
        <v>1062</v>
      </c>
      <c r="C79" s="3">
        <v>1059</v>
      </c>
      <c r="D79" s="3">
        <v>1048</v>
      </c>
      <c r="E79" s="3">
        <v>1043</v>
      </c>
      <c r="F79" s="3">
        <v>1058</v>
      </c>
      <c r="G79" s="3">
        <v>1018</v>
      </c>
      <c r="H79" s="3">
        <f>MIN(B79:G79)</f>
        <v>1018</v>
      </c>
      <c r="I79" s="3">
        <f>MAX(B79:G79)</f>
        <v>1062</v>
      </c>
      <c r="J79" s="3">
        <f>AVERAGE(B79:G79)</f>
        <v>1048</v>
      </c>
      <c r="M79" s="3">
        <v>412</v>
      </c>
      <c r="N79" s="3">
        <v>410</v>
      </c>
      <c r="O79" s="3">
        <v>398</v>
      </c>
      <c r="P79" s="3">
        <v>421</v>
      </c>
      <c r="Q79" s="3">
        <v>410</v>
      </c>
      <c r="R79" s="3">
        <v>410</v>
      </c>
      <c r="S79" s="3">
        <v>412</v>
      </c>
      <c r="T79" s="3">
        <v>423</v>
      </c>
      <c r="U79" s="3">
        <v>410</v>
      </c>
      <c r="V79" s="3">
        <v>401</v>
      </c>
      <c r="W79" s="3">
        <v>405</v>
      </c>
      <c r="X79" s="3">
        <v>407</v>
      </c>
      <c r="Y79" s="3">
        <v>405</v>
      </c>
      <c r="Z79" s="3">
        <v>399</v>
      </c>
      <c r="AA79" s="3">
        <v>417</v>
      </c>
      <c r="AB79" s="3">
        <v>364</v>
      </c>
      <c r="AC79" s="3">
        <v>401</v>
      </c>
      <c r="AD79" s="3">
        <v>407</v>
      </c>
      <c r="AE79" s="3">
        <v>422</v>
      </c>
      <c r="AF79" s="3">
        <v>415</v>
      </c>
      <c r="AG79" s="3">
        <v>412</v>
      </c>
      <c r="AH79" s="3">
        <v>399</v>
      </c>
      <c r="AI79" s="3">
        <v>402</v>
      </c>
      <c r="AJ79" s="3">
        <v>403</v>
      </c>
      <c r="AK79" s="3">
        <v>406</v>
      </c>
      <c r="AL79" s="3">
        <v>400</v>
      </c>
      <c r="AM79" s="3">
        <v>404</v>
      </c>
      <c r="AN79" s="3">
        <v>426</v>
      </c>
      <c r="AO79" s="3">
        <v>412</v>
      </c>
      <c r="AP79" s="3">
        <v>394</v>
      </c>
      <c r="AQ79" s="3">
        <v>406</v>
      </c>
      <c r="AR79" s="3">
        <v>405</v>
      </c>
      <c r="AS79" s="3">
        <v>406</v>
      </c>
      <c r="AT79" s="3">
        <f>MIN(M79:AS79)</f>
        <v>364</v>
      </c>
      <c r="AU79" s="3">
        <f>MAX(M79:AS79)</f>
        <v>426</v>
      </c>
      <c r="AV79" s="3">
        <f>AVERAGE(M79:AS79)</f>
        <v>406.78787878787881</v>
      </c>
    </row>
    <row r="80" spans="1:50" x14ac:dyDescent="0.15">
      <c r="A80" s="1" t="s">
        <v>33</v>
      </c>
      <c r="B80" s="3">
        <v>1039</v>
      </c>
      <c r="C80" s="3">
        <v>1042</v>
      </c>
      <c r="D80" s="3">
        <v>1034</v>
      </c>
      <c r="E80" s="3">
        <v>1035</v>
      </c>
      <c r="F80" s="3">
        <v>1043</v>
      </c>
      <c r="G80" s="3">
        <v>927</v>
      </c>
      <c r="H80" s="3">
        <f>MIN(B80:G80)</f>
        <v>927</v>
      </c>
      <c r="I80" s="3">
        <f>MAX(B80:G80)</f>
        <v>1043</v>
      </c>
      <c r="J80" s="3">
        <f>AVERAGE(B80:G80)</f>
        <v>1020</v>
      </c>
      <c r="M80" s="3">
        <v>413</v>
      </c>
      <c r="N80" s="3">
        <v>410</v>
      </c>
      <c r="O80" s="3">
        <v>398</v>
      </c>
      <c r="P80" s="3">
        <v>420</v>
      </c>
      <c r="Q80" s="3">
        <v>411</v>
      </c>
      <c r="R80" s="3">
        <v>407</v>
      </c>
      <c r="S80" s="3">
        <v>412</v>
      </c>
      <c r="T80" s="3">
        <v>423</v>
      </c>
      <c r="U80" s="3">
        <v>410</v>
      </c>
      <c r="V80" s="3">
        <v>401</v>
      </c>
      <c r="W80" s="3">
        <v>405</v>
      </c>
      <c r="X80" s="3">
        <v>408</v>
      </c>
      <c r="Y80" s="3">
        <v>405</v>
      </c>
      <c r="Z80" s="3">
        <v>400</v>
      </c>
      <c r="AA80" s="3">
        <v>417</v>
      </c>
      <c r="AB80" s="3">
        <v>388</v>
      </c>
      <c r="AC80" s="3">
        <v>371</v>
      </c>
      <c r="AD80" s="3">
        <v>403</v>
      </c>
      <c r="AE80" s="3">
        <v>422</v>
      </c>
      <c r="AF80" s="3">
        <v>416</v>
      </c>
      <c r="AG80" s="3">
        <v>412</v>
      </c>
      <c r="AH80" s="3">
        <v>400</v>
      </c>
      <c r="AI80" s="3">
        <v>402</v>
      </c>
      <c r="AJ80" s="3">
        <v>400</v>
      </c>
      <c r="AK80" s="3">
        <v>407</v>
      </c>
      <c r="AL80" s="3">
        <v>400</v>
      </c>
      <c r="AM80" s="3">
        <v>405</v>
      </c>
      <c r="AN80" s="3">
        <v>425</v>
      </c>
      <c r="AO80" s="3">
        <v>409</v>
      </c>
      <c r="AP80" s="3">
        <v>394</v>
      </c>
      <c r="AQ80" s="3">
        <v>405</v>
      </c>
      <c r="AR80" s="3">
        <v>405</v>
      </c>
      <c r="AS80" s="3">
        <v>406</v>
      </c>
      <c r="AT80" s="3">
        <f>MIN(M80:AS80)</f>
        <v>371</v>
      </c>
      <c r="AU80" s="3">
        <f>MAX(M80:AS80)</f>
        <v>425</v>
      </c>
      <c r="AV80" s="3">
        <f>AVERAGE(M80:AS80)</f>
        <v>406.36363636363637</v>
      </c>
    </row>
    <row r="81" spans="1:50" x14ac:dyDescent="0.15">
      <c r="A81" s="6" t="s">
        <v>39</v>
      </c>
      <c r="B81" s="3">
        <f t="shared" ref="B81:G81" si="60">B79-B80</f>
        <v>23</v>
      </c>
      <c r="C81" s="3">
        <f t="shared" si="60"/>
        <v>17</v>
      </c>
      <c r="D81" s="3">
        <f t="shared" si="60"/>
        <v>14</v>
      </c>
      <c r="E81" s="3">
        <f t="shared" si="60"/>
        <v>8</v>
      </c>
      <c r="F81" s="3">
        <f t="shared" si="60"/>
        <v>15</v>
      </c>
      <c r="G81" s="3">
        <f t="shared" si="60"/>
        <v>91</v>
      </c>
      <c r="H81" s="3">
        <f>MIN(B81:G81)</f>
        <v>8</v>
      </c>
      <c r="I81" s="3">
        <f>MAX(B81:G81)</f>
        <v>91</v>
      </c>
      <c r="J81" s="3">
        <f>AVERAGE(B81:G81)</f>
        <v>28</v>
      </c>
      <c r="M81" s="3">
        <f t="shared" ref="M81:AS81" si="61">M79-M80</f>
        <v>-1</v>
      </c>
      <c r="N81" s="3">
        <f t="shared" si="61"/>
        <v>0</v>
      </c>
      <c r="O81" s="3">
        <f t="shared" si="61"/>
        <v>0</v>
      </c>
      <c r="P81" s="3">
        <f t="shared" si="61"/>
        <v>1</v>
      </c>
      <c r="Q81" s="3">
        <f t="shared" si="61"/>
        <v>-1</v>
      </c>
      <c r="R81" s="3">
        <f t="shared" si="61"/>
        <v>3</v>
      </c>
      <c r="S81" s="3">
        <f t="shared" si="61"/>
        <v>0</v>
      </c>
      <c r="T81" s="3">
        <f t="shared" si="61"/>
        <v>0</v>
      </c>
      <c r="U81" s="3">
        <f t="shared" si="61"/>
        <v>0</v>
      </c>
      <c r="V81" s="3">
        <f t="shared" si="61"/>
        <v>0</v>
      </c>
      <c r="W81" s="3">
        <f t="shared" si="61"/>
        <v>0</v>
      </c>
      <c r="X81" s="3">
        <f t="shared" si="61"/>
        <v>-1</v>
      </c>
      <c r="Y81" s="3">
        <f t="shared" si="61"/>
        <v>0</v>
      </c>
      <c r="Z81" s="3">
        <f t="shared" si="61"/>
        <v>-1</v>
      </c>
      <c r="AA81" s="3">
        <f t="shared" si="61"/>
        <v>0</v>
      </c>
      <c r="AB81" s="3">
        <f t="shared" si="61"/>
        <v>-24</v>
      </c>
      <c r="AC81" s="3">
        <f t="shared" si="61"/>
        <v>30</v>
      </c>
      <c r="AD81" s="3">
        <f t="shared" si="61"/>
        <v>4</v>
      </c>
      <c r="AE81" s="3">
        <f t="shared" si="61"/>
        <v>0</v>
      </c>
      <c r="AF81" s="3">
        <f t="shared" si="61"/>
        <v>-1</v>
      </c>
      <c r="AG81" s="3">
        <f t="shared" si="61"/>
        <v>0</v>
      </c>
      <c r="AH81" s="3">
        <f t="shared" si="61"/>
        <v>-1</v>
      </c>
      <c r="AI81" s="3">
        <f t="shared" si="61"/>
        <v>0</v>
      </c>
      <c r="AJ81" s="3">
        <f t="shared" si="61"/>
        <v>3</v>
      </c>
      <c r="AK81" s="3">
        <f t="shared" si="61"/>
        <v>-1</v>
      </c>
      <c r="AL81" s="3">
        <f t="shared" si="61"/>
        <v>0</v>
      </c>
      <c r="AM81" s="3">
        <f t="shared" si="61"/>
        <v>-1</v>
      </c>
      <c r="AN81" s="3">
        <f t="shared" si="61"/>
        <v>1</v>
      </c>
      <c r="AO81" s="3">
        <f t="shared" si="61"/>
        <v>3</v>
      </c>
      <c r="AP81" s="3">
        <f t="shared" si="61"/>
        <v>0</v>
      </c>
      <c r="AQ81" s="3">
        <f t="shared" si="61"/>
        <v>1</v>
      </c>
      <c r="AR81" s="3">
        <f t="shared" si="61"/>
        <v>0</v>
      </c>
      <c r="AS81" s="3">
        <f t="shared" si="61"/>
        <v>0</v>
      </c>
      <c r="AT81" s="3">
        <f>MIN(M81:AS81)</f>
        <v>-24</v>
      </c>
      <c r="AU81" s="3">
        <f>MAX(M81:AS81)</f>
        <v>30</v>
      </c>
      <c r="AV81" s="3">
        <f>AVERAGE(M81:AS81)</f>
        <v>0.42424242424242425</v>
      </c>
    </row>
    <row r="82" spans="1:50" customFormat="1" x14ac:dyDescent="0.15">
      <c r="A82" s="6" t="s">
        <v>40</v>
      </c>
      <c r="B82" s="3">
        <f t="shared" ref="B82:G82" si="62">B81/B79*100</f>
        <v>2.1657250470809792</v>
      </c>
      <c r="C82" s="3">
        <f t="shared" si="62"/>
        <v>1.6052880075542966</v>
      </c>
      <c r="D82" s="3">
        <f t="shared" si="62"/>
        <v>1.3358778625954197</v>
      </c>
      <c r="E82" s="3">
        <f t="shared" si="62"/>
        <v>0.76701821668264614</v>
      </c>
      <c r="F82" s="3">
        <f t="shared" si="62"/>
        <v>1.4177693761814745</v>
      </c>
      <c r="G82" s="3">
        <f t="shared" si="62"/>
        <v>8.9390962671905694</v>
      </c>
      <c r="H82" s="3">
        <f>MIN(B82:G82)</f>
        <v>0.76701821668264614</v>
      </c>
      <c r="I82" s="3">
        <f>MAX(B82:G82)</f>
        <v>8.9390962671905694</v>
      </c>
      <c r="J82" s="7">
        <f>AVERAGE(B82:G82)</f>
        <v>2.7051291295475646</v>
      </c>
      <c r="K82" s="3"/>
      <c r="L82" s="3"/>
      <c r="M82" s="3">
        <f t="shared" ref="M82:AS82" si="63">M81/M79*100</f>
        <v>-0.24271844660194172</v>
      </c>
      <c r="N82" s="3">
        <f t="shared" si="63"/>
        <v>0</v>
      </c>
      <c r="O82" s="3">
        <f t="shared" si="63"/>
        <v>0</v>
      </c>
      <c r="P82" s="3">
        <f t="shared" si="63"/>
        <v>0.23752969121140144</v>
      </c>
      <c r="Q82" s="3">
        <f t="shared" si="63"/>
        <v>-0.24390243902439024</v>
      </c>
      <c r="R82" s="3">
        <f t="shared" si="63"/>
        <v>0.73170731707317083</v>
      </c>
      <c r="S82" s="3">
        <f t="shared" si="63"/>
        <v>0</v>
      </c>
      <c r="T82" s="3">
        <f t="shared" si="63"/>
        <v>0</v>
      </c>
      <c r="U82" s="3">
        <f t="shared" si="63"/>
        <v>0</v>
      </c>
      <c r="V82" s="3">
        <f t="shared" si="63"/>
        <v>0</v>
      </c>
      <c r="W82" s="3">
        <f t="shared" si="63"/>
        <v>0</v>
      </c>
      <c r="X82" s="3">
        <f t="shared" si="63"/>
        <v>-0.24570024570024571</v>
      </c>
      <c r="Y82" s="3">
        <f t="shared" si="63"/>
        <v>0</v>
      </c>
      <c r="Z82" s="3">
        <f t="shared" si="63"/>
        <v>-0.25062656641604009</v>
      </c>
      <c r="AA82" s="3">
        <f t="shared" si="63"/>
        <v>0</v>
      </c>
      <c r="AB82" s="3">
        <f t="shared" si="63"/>
        <v>-6.593406593406594</v>
      </c>
      <c r="AC82" s="3">
        <f t="shared" si="63"/>
        <v>7.4812967581047385</v>
      </c>
      <c r="AD82" s="3">
        <f t="shared" si="63"/>
        <v>0.98280098280098283</v>
      </c>
      <c r="AE82" s="3">
        <f t="shared" si="63"/>
        <v>0</v>
      </c>
      <c r="AF82" s="3">
        <f t="shared" si="63"/>
        <v>-0.24096385542168677</v>
      </c>
      <c r="AG82" s="3">
        <f t="shared" si="63"/>
        <v>0</v>
      </c>
      <c r="AH82" s="3">
        <f t="shared" si="63"/>
        <v>-0.25062656641604009</v>
      </c>
      <c r="AI82" s="3">
        <f t="shared" si="63"/>
        <v>0</v>
      </c>
      <c r="AJ82" s="3">
        <f t="shared" si="63"/>
        <v>0.74441687344913154</v>
      </c>
      <c r="AK82" s="3">
        <f t="shared" si="63"/>
        <v>-0.24630541871921183</v>
      </c>
      <c r="AL82" s="3">
        <f t="shared" si="63"/>
        <v>0</v>
      </c>
      <c r="AM82" s="3">
        <f t="shared" si="63"/>
        <v>-0.24752475247524752</v>
      </c>
      <c r="AN82" s="3">
        <f t="shared" si="63"/>
        <v>0.23474178403755869</v>
      </c>
      <c r="AO82" s="3">
        <f t="shared" si="63"/>
        <v>0.72815533980582525</v>
      </c>
      <c r="AP82" s="3">
        <f t="shared" si="63"/>
        <v>0</v>
      </c>
      <c r="AQ82" s="3">
        <f t="shared" si="63"/>
        <v>0.24630541871921183</v>
      </c>
      <c r="AR82" s="3">
        <f t="shared" si="63"/>
        <v>0</v>
      </c>
      <c r="AS82" s="3">
        <f t="shared" si="63"/>
        <v>0</v>
      </c>
      <c r="AT82" s="3">
        <f>MIN(M82:AS82)</f>
        <v>-6.593406593406594</v>
      </c>
      <c r="AU82" s="3">
        <f>MAX(M82:AS82)</f>
        <v>7.4812967581047385</v>
      </c>
      <c r="AV82" s="7">
        <f>AVERAGE(M82:AS82)</f>
        <v>8.5611493364261299E-2</v>
      </c>
      <c r="AW82" s="3"/>
      <c r="AX82" s="3"/>
    </row>
    <row r="83" spans="1:50" customFormat="1" x14ac:dyDescent="0.15">
      <c r="A83" s="6" t="s">
        <v>41</v>
      </c>
      <c r="B83" s="3">
        <f t="shared" ref="B83:G83" si="64">B81/B80*100</f>
        <v>2.2136669874879691</v>
      </c>
      <c r="C83" s="3">
        <f t="shared" si="64"/>
        <v>1.6314779270633395</v>
      </c>
      <c r="D83" s="3">
        <f t="shared" si="64"/>
        <v>1.3539651837524178</v>
      </c>
      <c r="E83" s="3">
        <f t="shared" si="64"/>
        <v>0.77294685990338163</v>
      </c>
      <c r="F83" s="3">
        <f t="shared" si="64"/>
        <v>1.4381591562799616</v>
      </c>
      <c r="G83" s="3">
        <f t="shared" si="64"/>
        <v>9.8166127292340875</v>
      </c>
      <c r="H83" s="3">
        <f>MIN(B83:G83)</f>
        <v>0.77294685990338163</v>
      </c>
      <c r="I83" s="3">
        <f>MAX(B83:G83)</f>
        <v>9.8166127292340875</v>
      </c>
      <c r="J83" s="7">
        <f>AVERAGE(B83:G83)</f>
        <v>2.871138140620193</v>
      </c>
      <c r="K83" s="3"/>
      <c r="L83" s="3"/>
      <c r="M83" s="3">
        <f t="shared" ref="M83:AS83" si="65">M81/M80*100</f>
        <v>-0.24213075060532688</v>
      </c>
      <c r="N83" s="3">
        <f t="shared" si="65"/>
        <v>0</v>
      </c>
      <c r="O83" s="3">
        <f t="shared" si="65"/>
        <v>0</v>
      </c>
      <c r="P83" s="3">
        <f t="shared" si="65"/>
        <v>0.23809523809523811</v>
      </c>
      <c r="Q83" s="3">
        <f t="shared" si="65"/>
        <v>-0.24330900243309003</v>
      </c>
      <c r="R83" s="3">
        <f t="shared" si="65"/>
        <v>0.73710073710073709</v>
      </c>
      <c r="S83" s="3">
        <f t="shared" si="65"/>
        <v>0</v>
      </c>
      <c r="T83" s="3">
        <f t="shared" si="65"/>
        <v>0</v>
      </c>
      <c r="U83" s="3">
        <f t="shared" si="65"/>
        <v>0</v>
      </c>
      <c r="V83" s="3">
        <f t="shared" si="65"/>
        <v>0</v>
      </c>
      <c r="W83" s="3">
        <f t="shared" si="65"/>
        <v>0</v>
      </c>
      <c r="X83" s="3">
        <f t="shared" si="65"/>
        <v>-0.24509803921568626</v>
      </c>
      <c r="Y83" s="3">
        <f t="shared" si="65"/>
        <v>0</v>
      </c>
      <c r="Z83" s="3">
        <f t="shared" si="65"/>
        <v>-0.25</v>
      </c>
      <c r="AA83" s="3">
        <f t="shared" si="65"/>
        <v>0</v>
      </c>
      <c r="AB83" s="3">
        <f t="shared" si="65"/>
        <v>-6.1855670103092786</v>
      </c>
      <c r="AC83" s="3">
        <f t="shared" si="65"/>
        <v>8.0862533692722369</v>
      </c>
      <c r="AD83" s="3">
        <f t="shared" si="65"/>
        <v>0.99255583126550873</v>
      </c>
      <c r="AE83" s="3">
        <f t="shared" si="65"/>
        <v>0</v>
      </c>
      <c r="AF83" s="3">
        <f t="shared" si="65"/>
        <v>-0.24038461538461539</v>
      </c>
      <c r="AG83" s="3">
        <f t="shared" si="65"/>
        <v>0</v>
      </c>
      <c r="AH83" s="3">
        <f t="shared" si="65"/>
        <v>-0.25</v>
      </c>
      <c r="AI83" s="3">
        <f t="shared" si="65"/>
        <v>0</v>
      </c>
      <c r="AJ83" s="3">
        <f t="shared" si="65"/>
        <v>0.75</v>
      </c>
      <c r="AK83" s="3">
        <f t="shared" si="65"/>
        <v>-0.24570024570024571</v>
      </c>
      <c r="AL83" s="3">
        <f t="shared" si="65"/>
        <v>0</v>
      </c>
      <c r="AM83" s="3">
        <f t="shared" si="65"/>
        <v>-0.24691358024691357</v>
      </c>
      <c r="AN83" s="3">
        <f t="shared" si="65"/>
        <v>0.23529411764705879</v>
      </c>
      <c r="AO83" s="3">
        <f t="shared" si="65"/>
        <v>0.73349633251833746</v>
      </c>
      <c r="AP83" s="3">
        <f t="shared" si="65"/>
        <v>0</v>
      </c>
      <c r="AQ83" s="3">
        <f t="shared" si="65"/>
        <v>0.24691358024691357</v>
      </c>
      <c r="AR83" s="3">
        <f t="shared" si="65"/>
        <v>0</v>
      </c>
      <c r="AS83" s="3">
        <f t="shared" si="65"/>
        <v>0</v>
      </c>
      <c r="AT83" s="3">
        <f>MIN(M83:AS83)</f>
        <v>-6.1855670103092786</v>
      </c>
      <c r="AU83" s="3">
        <f>MAX(M83:AS83)</f>
        <v>8.0862533692722369</v>
      </c>
      <c r="AV83" s="7">
        <f>AVERAGE(M83:AS83)</f>
        <v>0.11729108976517799</v>
      </c>
      <c r="AW83" s="3"/>
      <c r="AX83" s="3"/>
    </row>
    <row r="85" spans="1:50" x14ac:dyDescent="0.15">
      <c r="A85" s="1" t="s">
        <v>34</v>
      </c>
      <c r="B85" s="3">
        <v>530</v>
      </c>
      <c r="C85" s="3">
        <v>530</v>
      </c>
      <c r="D85" s="3">
        <v>523</v>
      </c>
      <c r="E85" s="3">
        <v>523</v>
      </c>
      <c r="F85" s="3">
        <v>531</v>
      </c>
      <c r="G85" s="3">
        <v>507</v>
      </c>
      <c r="H85" s="3">
        <f>MIN(B85:G85)</f>
        <v>507</v>
      </c>
      <c r="I85" s="3">
        <f>MAX(B85:G85)</f>
        <v>531</v>
      </c>
      <c r="J85" s="3">
        <f>AVERAGE(B85:G85)</f>
        <v>524</v>
      </c>
      <c r="M85" s="3">
        <v>206</v>
      </c>
      <c r="N85" s="3">
        <v>205</v>
      </c>
      <c r="O85" s="3">
        <v>199</v>
      </c>
      <c r="P85" s="3">
        <v>210</v>
      </c>
      <c r="Q85" s="3">
        <v>205</v>
      </c>
      <c r="R85" s="3">
        <v>205</v>
      </c>
      <c r="S85" s="3">
        <v>206</v>
      </c>
      <c r="T85" s="3">
        <v>194</v>
      </c>
      <c r="U85" s="3">
        <v>204</v>
      </c>
      <c r="V85" s="3">
        <v>200</v>
      </c>
      <c r="W85" s="3">
        <v>202</v>
      </c>
      <c r="X85" s="3">
        <v>191</v>
      </c>
      <c r="Y85" s="3">
        <v>202</v>
      </c>
      <c r="Z85" s="3">
        <v>199</v>
      </c>
      <c r="AA85" s="3">
        <v>208</v>
      </c>
      <c r="AB85" s="3">
        <v>196</v>
      </c>
      <c r="AC85" s="3">
        <v>200</v>
      </c>
      <c r="AD85" s="3">
        <v>203</v>
      </c>
      <c r="AE85" s="3">
        <v>210</v>
      </c>
      <c r="AF85" s="3">
        <v>207</v>
      </c>
      <c r="AG85" s="3">
        <v>206</v>
      </c>
      <c r="AH85" s="3">
        <v>200</v>
      </c>
      <c r="AI85" s="3">
        <v>200</v>
      </c>
      <c r="AJ85" s="3">
        <v>201</v>
      </c>
      <c r="AK85" s="3">
        <v>203</v>
      </c>
      <c r="AL85" s="3">
        <v>200</v>
      </c>
      <c r="AM85" s="3">
        <v>201</v>
      </c>
      <c r="AN85" s="3">
        <v>212</v>
      </c>
      <c r="AO85" s="3">
        <v>206</v>
      </c>
      <c r="AP85" s="3">
        <v>197</v>
      </c>
      <c r="AQ85" s="3">
        <v>203</v>
      </c>
      <c r="AR85" s="3">
        <v>202</v>
      </c>
      <c r="AS85" s="3">
        <v>203</v>
      </c>
      <c r="AT85" s="3">
        <f>MIN(M85:AS85)</f>
        <v>191</v>
      </c>
      <c r="AU85" s="3">
        <f>MAX(M85:AS85)</f>
        <v>212</v>
      </c>
      <c r="AV85" s="3">
        <f>AVERAGE(M85:AS85)</f>
        <v>202.60606060606059</v>
      </c>
    </row>
    <row r="86" spans="1:50" x14ac:dyDescent="0.15">
      <c r="A86" s="1" t="s">
        <v>34</v>
      </c>
      <c r="B86" s="3">
        <v>522</v>
      </c>
      <c r="C86" s="3">
        <v>522</v>
      </c>
      <c r="D86" s="3">
        <v>519</v>
      </c>
      <c r="E86" s="3">
        <v>519</v>
      </c>
      <c r="F86" s="3">
        <v>520</v>
      </c>
      <c r="G86" s="3">
        <v>520</v>
      </c>
      <c r="H86" s="3">
        <f>MIN(B86:G86)</f>
        <v>519</v>
      </c>
      <c r="I86" s="3">
        <f>MAX(B86:G86)</f>
        <v>522</v>
      </c>
      <c r="J86" s="3">
        <f>AVERAGE(B86:G86)</f>
        <v>520.33333333333337</v>
      </c>
      <c r="M86" s="3">
        <v>192</v>
      </c>
      <c r="N86" s="3">
        <v>205</v>
      </c>
      <c r="O86" s="3">
        <v>199</v>
      </c>
      <c r="P86" s="3">
        <v>210</v>
      </c>
      <c r="Q86" s="3">
        <v>205</v>
      </c>
      <c r="R86" s="3">
        <v>205</v>
      </c>
      <c r="S86" s="3">
        <v>206</v>
      </c>
      <c r="T86" s="3">
        <v>212</v>
      </c>
      <c r="U86" s="3">
        <v>205</v>
      </c>
      <c r="V86" s="3">
        <v>201</v>
      </c>
      <c r="W86" s="3">
        <v>202</v>
      </c>
      <c r="X86" s="3">
        <v>203</v>
      </c>
      <c r="Y86" s="3">
        <v>202</v>
      </c>
      <c r="Z86" s="3">
        <v>198</v>
      </c>
      <c r="AA86" s="3">
        <v>208</v>
      </c>
      <c r="AB86" s="3">
        <v>196</v>
      </c>
      <c r="AC86" s="3">
        <v>200</v>
      </c>
      <c r="AD86" s="3">
        <v>203</v>
      </c>
      <c r="AE86" s="3">
        <v>210</v>
      </c>
      <c r="AF86" s="3">
        <v>207</v>
      </c>
      <c r="AG86" s="3">
        <v>206</v>
      </c>
      <c r="AH86" s="3">
        <v>200</v>
      </c>
      <c r="AI86" s="3">
        <v>201</v>
      </c>
      <c r="AJ86" s="3">
        <v>202</v>
      </c>
      <c r="AK86" s="3">
        <v>203</v>
      </c>
      <c r="AL86" s="3">
        <v>200</v>
      </c>
      <c r="AM86" s="3">
        <v>201</v>
      </c>
      <c r="AN86" s="3">
        <v>213</v>
      </c>
      <c r="AO86" s="3">
        <v>206</v>
      </c>
      <c r="AP86" s="3">
        <v>197</v>
      </c>
      <c r="AQ86" s="3">
        <v>203</v>
      </c>
      <c r="AR86" s="3">
        <v>203</v>
      </c>
      <c r="AS86" s="3">
        <v>203</v>
      </c>
      <c r="AT86" s="3">
        <f>MIN(M86:AS86)</f>
        <v>192</v>
      </c>
      <c r="AU86" s="3">
        <f>MAX(M86:AS86)</f>
        <v>213</v>
      </c>
      <c r="AV86" s="3">
        <f>AVERAGE(M86:AS86)</f>
        <v>203.24242424242425</v>
      </c>
    </row>
    <row r="87" spans="1:50" x14ac:dyDescent="0.15">
      <c r="A87" s="6" t="s">
        <v>39</v>
      </c>
      <c r="B87" s="3">
        <f t="shared" ref="B87:G87" si="66">B85-B86</f>
        <v>8</v>
      </c>
      <c r="C87" s="3">
        <f t="shared" si="66"/>
        <v>8</v>
      </c>
      <c r="D87" s="3">
        <f t="shared" si="66"/>
        <v>4</v>
      </c>
      <c r="E87" s="3">
        <f t="shared" si="66"/>
        <v>4</v>
      </c>
      <c r="F87" s="3">
        <f t="shared" si="66"/>
        <v>11</v>
      </c>
      <c r="G87" s="3">
        <f t="shared" si="66"/>
        <v>-13</v>
      </c>
      <c r="H87" s="3">
        <f>MIN(B87:G87)</f>
        <v>-13</v>
      </c>
      <c r="I87" s="3">
        <f>MAX(B87:G87)</f>
        <v>11</v>
      </c>
      <c r="J87" s="3">
        <f>AVERAGE(B87:G87)</f>
        <v>3.6666666666666665</v>
      </c>
      <c r="M87" s="3">
        <f t="shared" ref="M87:AS87" si="67">M85-M86</f>
        <v>14</v>
      </c>
      <c r="N87" s="3">
        <f t="shared" si="67"/>
        <v>0</v>
      </c>
      <c r="O87" s="3">
        <f t="shared" si="67"/>
        <v>0</v>
      </c>
      <c r="P87" s="3">
        <f t="shared" si="67"/>
        <v>0</v>
      </c>
      <c r="Q87" s="3">
        <f t="shared" si="67"/>
        <v>0</v>
      </c>
      <c r="R87" s="3">
        <f t="shared" si="67"/>
        <v>0</v>
      </c>
      <c r="S87" s="3">
        <f t="shared" si="67"/>
        <v>0</v>
      </c>
      <c r="T87" s="3">
        <f t="shared" si="67"/>
        <v>-18</v>
      </c>
      <c r="U87" s="3">
        <f t="shared" si="67"/>
        <v>-1</v>
      </c>
      <c r="V87" s="3">
        <f t="shared" si="67"/>
        <v>-1</v>
      </c>
      <c r="W87" s="3">
        <f t="shared" si="67"/>
        <v>0</v>
      </c>
      <c r="X87" s="3">
        <f t="shared" si="67"/>
        <v>-12</v>
      </c>
      <c r="Y87" s="3">
        <f t="shared" si="67"/>
        <v>0</v>
      </c>
      <c r="Z87" s="3">
        <f t="shared" si="67"/>
        <v>1</v>
      </c>
      <c r="AA87" s="3">
        <f t="shared" si="67"/>
        <v>0</v>
      </c>
      <c r="AB87" s="3">
        <f t="shared" si="67"/>
        <v>0</v>
      </c>
      <c r="AC87" s="3">
        <f t="shared" si="67"/>
        <v>0</v>
      </c>
      <c r="AD87" s="3">
        <f t="shared" si="67"/>
        <v>0</v>
      </c>
      <c r="AE87" s="3">
        <f t="shared" si="67"/>
        <v>0</v>
      </c>
      <c r="AF87" s="3">
        <f t="shared" si="67"/>
        <v>0</v>
      </c>
      <c r="AG87" s="3">
        <f t="shared" si="67"/>
        <v>0</v>
      </c>
      <c r="AH87" s="3">
        <f t="shared" si="67"/>
        <v>0</v>
      </c>
      <c r="AI87" s="3">
        <f t="shared" si="67"/>
        <v>-1</v>
      </c>
      <c r="AJ87" s="3">
        <f t="shared" si="67"/>
        <v>-1</v>
      </c>
      <c r="AK87" s="3">
        <f t="shared" si="67"/>
        <v>0</v>
      </c>
      <c r="AL87" s="3">
        <f t="shared" si="67"/>
        <v>0</v>
      </c>
      <c r="AM87" s="3">
        <f t="shared" si="67"/>
        <v>0</v>
      </c>
      <c r="AN87" s="3">
        <f t="shared" si="67"/>
        <v>-1</v>
      </c>
      <c r="AO87" s="3">
        <f t="shared" si="67"/>
        <v>0</v>
      </c>
      <c r="AP87" s="3">
        <f t="shared" si="67"/>
        <v>0</v>
      </c>
      <c r="AQ87" s="3">
        <f t="shared" si="67"/>
        <v>0</v>
      </c>
      <c r="AR87" s="3">
        <f t="shared" si="67"/>
        <v>-1</v>
      </c>
      <c r="AS87" s="3">
        <f t="shared" si="67"/>
        <v>0</v>
      </c>
      <c r="AT87" s="3">
        <f>MIN(M87:AS87)</f>
        <v>-18</v>
      </c>
      <c r="AU87" s="3">
        <f>MAX(M87:AS87)</f>
        <v>14</v>
      </c>
      <c r="AV87" s="3">
        <f>AVERAGE(M87:AS87)</f>
        <v>-0.63636363636363635</v>
      </c>
    </row>
    <row r="88" spans="1:50" customFormat="1" x14ac:dyDescent="0.15">
      <c r="A88" s="6" t="s">
        <v>40</v>
      </c>
      <c r="B88" s="3">
        <f t="shared" ref="B88:G88" si="68">B87/B85*100</f>
        <v>1.5094339622641511</v>
      </c>
      <c r="C88" s="3">
        <f t="shared" si="68"/>
        <v>1.5094339622641511</v>
      </c>
      <c r="D88" s="3">
        <f t="shared" si="68"/>
        <v>0.76481835564053535</v>
      </c>
      <c r="E88" s="3">
        <f t="shared" si="68"/>
        <v>0.76481835564053535</v>
      </c>
      <c r="F88" s="3">
        <f t="shared" si="68"/>
        <v>2.0715630885122414</v>
      </c>
      <c r="G88" s="3">
        <f t="shared" si="68"/>
        <v>-2.5641025641025639</v>
      </c>
      <c r="H88" s="3">
        <f>MIN(B88:G88)</f>
        <v>-2.5641025641025639</v>
      </c>
      <c r="I88" s="3">
        <f>MAX(B88:G88)</f>
        <v>2.0715630885122414</v>
      </c>
      <c r="J88" s="7">
        <f>AVERAGE(B88:G88)</f>
        <v>0.67599419336984168</v>
      </c>
      <c r="K88" s="3"/>
      <c r="L88" s="3"/>
      <c r="M88" s="3">
        <f t="shared" ref="M88:AS88" si="69">M87/M85*100</f>
        <v>6.7961165048543686</v>
      </c>
      <c r="N88" s="3">
        <f t="shared" si="69"/>
        <v>0</v>
      </c>
      <c r="O88" s="3">
        <f t="shared" si="69"/>
        <v>0</v>
      </c>
      <c r="P88" s="3">
        <f t="shared" si="69"/>
        <v>0</v>
      </c>
      <c r="Q88" s="3">
        <f t="shared" si="69"/>
        <v>0</v>
      </c>
      <c r="R88" s="3">
        <f t="shared" si="69"/>
        <v>0</v>
      </c>
      <c r="S88" s="3">
        <f t="shared" si="69"/>
        <v>0</v>
      </c>
      <c r="T88" s="3">
        <f t="shared" si="69"/>
        <v>-9.2783505154639183</v>
      </c>
      <c r="U88" s="3">
        <f t="shared" si="69"/>
        <v>-0.49019607843137253</v>
      </c>
      <c r="V88" s="3">
        <f t="shared" si="69"/>
        <v>-0.5</v>
      </c>
      <c r="W88" s="3">
        <f t="shared" si="69"/>
        <v>0</v>
      </c>
      <c r="X88" s="3">
        <f t="shared" si="69"/>
        <v>-6.2827225130890048</v>
      </c>
      <c r="Y88" s="3">
        <f t="shared" si="69"/>
        <v>0</v>
      </c>
      <c r="Z88" s="3">
        <f t="shared" si="69"/>
        <v>0.50251256281407031</v>
      </c>
      <c r="AA88" s="3">
        <f t="shared" si="69"/>
        <v>0</v>
      </c>
      <c r="AB88" s="3">
        <f t="shared" si="69"/>
        <v>0</v>
      </c>
      <c r="AC88" s="3">
        <f t="shared" si="69"/>
        <v>0</v>
      </c>
      <c r="AD88" s="3">
        <f t="shared" si="69"/>
        <v>0</v>
      </c>
      <c r="AE88" s="3">
        <f t="shared" si="69"/>
        <v>0</v>
      </c>
      <c r="AF88" s="3">
        <f t="shared" si="69"/>
        <v>0</v>
      </c>
      <c r="AG88" s="3">
        <f t="shared" si="69"/>
        <v>0</v>
      </c>
      <c r="AH88" s="3">
        <f t="shared" si="69"/>
        <v>0</v>
      </c>
      <c r="AI88" s="3">
        <f t="shared" si="69"/>
        <v>-0.5</v>
      </c>
      <c r="AJ88" s="3">
        <f t="shared" si="69"/>
        <v>-0.49751243781094528</v>
      </c>
      <c r="AK88" s="3">
        <f t="shared" si="69"/>
        <v>0</v>
      </c>
      <c r="AL88" s="3">
        <f t="shared" si="69"/>
        <v>0</v>
      </c>
      <c r="AM88" s="3">
        <f t="shared" si="69"/>
        <v>0</v>
      </c>
      <c r="AN88" s="3">
        <f t="shared" si="69"/>
        <v>-0.47169811320754718</v>
      </c>
      <c r="AO88" s="3">
        <f t="shared" si="69"/>
        <v>0</v>
      </c>
      <c r="AP88" s="3">
        <f t="shared" si="69"/>
        <v>0</v>
      </c>
      <c r="AQ88" s="3">
        <f t="shared" si="69"/>
        <v>0</v>
      </c>
      <c r="AR88" s="3">
        <f t="shared" si="69"/>
        <v>-0.49504950495049505</v>
      </c>
      <c r="AS88" s="3">
        <f t="shared" si="69"/>
        <v>0</v>
      </c>
      <c r="AT88" s="3">
        <f>MIN(M88:AS88)</f>
        <v>-9.2783505154639183</v>
      </c>
      <c r="AU88" s="3">
        <f>MAX(M88:AS88)</f>
        <v>6.7961165048543686</v>
      </c>
      <c r="AV88" s="7">
        <f>AVERAGE(M88:AS88)</f>
        <v>-0.33990606349348013</v>
      </c>
      <c r="AW88" s="3"/>
      <c r="AX88" s="3"/>
    </row>
    <row r="89" spans="1:50" customFormat="1" x14ac:dyDescent="0.15">
      <c r="A89" s="6" t="s">
        <v>41</v>
      </c>
      <c r="B89" s="3">
        <f t="shared" ref="B89:G89" si="70">B87/B86*100</f>
        <v>1.5325670498084289</v>
      </c>
      <c r="C89" s="3">
        <f t="shared" si="70"/>
        <v>1.5325670498084289</v>
      </c>
      <c r="D89" s="3">
        <f t="shared" si="70"/>
        <v>0.77071290944123316</v>
      </c>
      <c r="E89" s="3">
        <f t="shared" si="70"/>
        <v>0.77071290944123316</v>
      </c>
      <c r="F89" s="3">
        <f t="shared" si="70"/>
        <v>2.1153846153846154</v>
      </c>
      <c r="G89" s="3">
        <f t="shared" si="70"/>
        <v>-2.5</v>
      </c>
      <c r="H89" s="3">
        <f>MIN(B89:G89)</f>
        <v>-2.5</v>
      </c>
      <c r="I89" s="3">
        <f>MAX(B89:G89)</f>
        <v>2.1153846153846154</v>
      </c>
      <c r="J89" s="7">
        <f>AVERAGE(B89:G89)</f>
        <v>0.70365742231399009</v>
      </c>
      <c r="K89" s="3"/>
      <c r="L89" s="3"/>
      <c r="M89" s="3">
        <f t="shared" ref="M89:AS89" si="71">M87/M86*100</f>
        <v>7.291666666666667</v>
      </c>
      <c r="N89" s="3">
        <f t="shared" si="71"/>
        <v>0</v>
      </c>
      <c r="O89" s="3">
        <f t="shared" si="71"/>
        <v>0</v>
      </c>
      <c r="P89" s="3">
        <f t="shared" si="71"/>
        <v>0</v>
      </c>
      <c r="Q89" s="3">
        <f t="shared" si="71"/>
        <v>0</v>
      </c>
      <c r="R89" s="3">
        <f t="shared" si="71"/>
        <v>0</v>
      </c>
      <c r="S89" s="3">
        <f t="shared" si="71"/>
        <v>0</v>
      </c>
      <c r="T89" s="3">
        <f t="shared" si="71"/>
        <v>-8.4905660377358494</v>
      </c>
      <c r="U89" s="3">
        <f t="shared" si="71"/>
        <v>-0.48780487804878048</v>
      </c>
      <c r="V89" s="3">
        <f t="shared" si="71"/>
        <v>-0.49751243781094528</v>
      </c>
      <c r="W89" s="3">
        <f t="shared" si="71"/>
        <v>0</v>
      </c>
      <c r="X89" s="3">
        <f t="shared" si="71"/>
        <v>-5.9113300492610836</v>
      </c>
      <c r="Y89" s="3">
        <f t="shared" si="71"/>
        <v>0</v>
      </c>
      <c r="Z89" s="3">
        <f t="shared" si="71"/>
        <v>0.50505050505050508</v>
      </c>
      <c r="AA89" s="3">
        <f t="shared" si="71"/>
        <v>0</v>
      </c>
      <c r="AB89" s="3">
        <f t="shared" si="71"/>
        <v>0</v>
      </c>
      <c r="AC89" s="3">
        <f t="shared" si="71"/>
        <v>0</v>
      </c>
      <c r="AD89" s="3">
        <f t="shared" si="71"/>
        <v>0</v>
      </c>
      <c r="AE89" s="3">
        <f t="shared" si="71"/>
        <v>0</v>
      </c>
      <c r="AF89" s="3">
        <f t="shared" si="71"/>
        <v>0</v>
      </c>
      <c r="AG89" s="3">
        <f t="shared" si="71"/>
        <v>0</v>
      </c>
      <c r="AH89" s="3">
        <f t="shared" si="71"/>
        <v>0</v>
      </c>
      <c r="AI89" s="3">
        <f t="shared" si="71"/>
        <v>-0.49751243781094528</v>
      </c>
      <c r="AJ89" s="3">
        <f t="shared" si="71"/>
        <v>-0.49504950495049505</v>
      </c>
      <c r="AK89" s="3">
        <f t="shared" si="71"/>
        <v>0</v>
      </c>
      <c r="AL89" s="3">
        <f t="shared" si="71"/>
        <v>0</v>
      </c>
      <c r="AM89" s="3">
        <f t="shared" si="71"/>
        <v>0</v>
      </c>
      <c r="AN89" s="3">
        <f t="shared" si="71"/>
        <v>-0.46948356807511737</v>
      </c>
      <c r="AO89" s="3">
        <f t="shared" si="71"/>
        <v>0</v>
      </c>
      <c r="AP89" s="3">
        <f t="shared" si="71"/>
        <v>0</v>
      </c>
      <c r="AQ89" s="3">
        <f t="shared" si="71"/>
        <v>0</v>
      </c>
      <c r="AR89" s="3">
        <f t="shared" si="71"/>
        <v>-0.49261083743842365</v>
      </c>
      <c r="AS89" s="3">
        <f t="shared" si="71"/>
        <v>0</v>
      </c>
      <c r="AT89" s="3">
        <f>MIN(M89:AS89)</f>
        <v>-8.4905660377358494</v>
      </c>
      <c r="AU89" s="3">
        <f>MAX(M89:AS89)</f>
        <v>7.291666666666667</v>
      </c>
      <c r="AV89" s="7">
        <f>AVERAGE(M89:AS89)</f>
        <v>-0.28924704786104449</v>
      </c>
      <c r="AW89" s="3"/>
      <c r="AX89" s="3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52"/>
  <sheetViews>
    <sheetView workbookViewId="0"/>
  </sheetViews>
  <sheetFormatPr defaultRowHeight="13.5" x14ac:dyDescent="0.15"/>
  <cols>
    <col min="1" max="1" width="24.5" style="3" bestFit="1" customWidth="1"/>
    <col min="2" max="2" width="13.875" style="3" bestFit="1" customWidth="1"/>
    <col min="3" max="3" width="6.5" style="3" customWidth="1"/>
    <col min="4" max="4" width="13.875" style="3" bestFit="1" customWidth="1"/>
    <col min="5" max="5" width="6.5" style="3" customWidth="1"/>
    <col min="6" max="6" width="4.5" style="3" bestFit="1" customWidth="1"/>
    <col min="7" max="9" width="17" style="3" bestFit="1" customWidth="1"/>
    <col min="10" max="12" width="15.75" style="3" bestFit="1" customWidth="1"/>
    <col min="13" max="13" width="12.75" style="3" bestFit="1" customWidth="1"/>
    <col min="14" max="14" width="13.25" style="3" bestFit="1" customWidth="1"/>
    <col min="15" max="15" width="11.625" style="3" bestFit="1" customWidth="1"/>
    <col min="16" max="17" width="12.75" style="3" bestFit="1" customWidth="1"/>
    <col min="18" max="18" width="13.875" style="3" bestFit="1" customWidth="1"/>
    <col min="19" max="24" width="6.5" style="3" customWidth="1"/>
    <col min="25" max="16384" width="9" style="3"/>
  </cols>
  <sheetData>
    <row r="1" spans="1:24" s="8" customFormat="1" x14ac:dyDescent="0.15">
      <c r="A1" s="9" t="s">
        <v>0</v>
      </c>
      <c r="B1" s="12" t="s">
        <v>45</v>
      </c>
      <c r="C1" s="12"/>
      <c r="D1" s="12" t="s">
        <v>46</v>
      </c>
      <c r="E1" s="10"/>
      <c r="S1" s="10"/>
      <c r="T1" s="10"/>
      <c r="U1" s="10"/>
      <c r="V1" s="10"/>
      <c r="W1" s="10"/>
      <c r="X1" s="10"/>
    </row>
    <row r="2" spans="1:24" x14ac:dyDescent="0.15">
      <c r="A2" s="5" t="s">
        <v>38</v>
      </c>
      <c r="F2" s="11" t="s">
        <v>45</v>
      </c>
      <c r="G2" s="4" t="s">
        <v>47</v>
      </c>
      <c r="H2" s="4" t="s">
        <v>48</v>
      </c>
      <c r="I2" s="4" t="s">
        <v>49</v>
      </c>
      <c r="J2" s="1" t="s">
        <v>50</v>
      </c>
      <c r="K2" s="1" t="s">
        <v>51</v>
      </c>
      <c r="L2" s="1" t="s">
        <v>52</v>
      </c>
      <c r="M2" s="1" t="s">
        <v>53</v>
      </c>
      <c r="N2" s="1" t="s">
        <v>54</v>
      </c>
      <c r="O2" s="1" t="s">
        <v>55</v>
      </c>
      <c r="P2" s="1" t="s">
        <v>56</v>
      </c>
      <c r="Q2" s="1" t="s">
        <v>57</v>
      </c>
      <c r="R2" s="1" t="s">
        <v>58</v>
      </c>
    </row>
    <row r="3" spans="1:24" x14ac:dyDescent="0.15">
      <c r="A3" s="4" t="s">
        <v>14</v>
      </c>
      <c r="B3" s="7">
        <v>46.911116291112073</v>
      </c>
      <c r="D3" s="7">
        <v>43.879004230557911</v>
      </c>
      <c r="F3" s="11"/>
      <c r="G3" s="7">
        <v>88.814940303726289</v>
      </c>
      <c r="H3" s="7">
        <v>60.685082410893983</v>
      </c>
      <c r="I3" s="7">
        <v>0.56210439490691932</v>
      </c>
      <c r="J3" s="7">
        <v>11.648209177290481</v>
      </c>
      <c r="K3" s="7">
        <v>7.7344838630907651</v>
      </c>
      <c r="L3" s="7">
        <v>-0.8820396952367302</v>
      </c>
      <c r="M3" s="7">
        <v>60.497595062629522</v>
      </c>
      <c r="N3" s="7">
        <v>82.497301687885752</v>
      </c>
      <c r="O3" s="7">
        <v>83.968299198127383</v>
      </c>
      <c r="P3" s="7">
        <v>0.28720141299141178</v>
      </c>
      <c r="Q3" s="7">
        <v>2.871138140620193</v>
      </c>
      <c r="R3" s="7">
        <v>0.70365742231399009</v>
      </c>
    </row>
    <row r="4" spans="1:24" x14ac:dyDescent="0.15">
      <c r="A4" s="1" t="s">
        <v>14</v>
      </c>
      <c r="B4" s="7">
        <v>88.814940303726289</v>
      </c>
      <c r="D4" s="7">
        <v>78.236848850489295</v>
      </c>
    </row>
    <row r="6" spans="1:24" x14ac:dyDescent="0.15">
      <c r="A6" s="4" t="s">
        <v>15</v>
      </c>
      <c r="B6" s="7">
        <v>37.586872923707375</v>
      </c>
      <c r="D6" s="7">
        <v>44.870353703349522</v>
      </c>
    </row>
    <row r="7" spans="1:24" x14ac:dyDescent="0.15">
      <c r="A7" s="1" t="s">
        <v>15</v>
      </c>
      <c r="B7" s="7">
        <v>60.685082410893983</v>
      </c>
      <c r="D7" s="7">
        <v>81.429489603931955</v>
      </c>
    </row>
    <row r="9" spans="1:24" x14ac:dyDescent="0.15">
      <c r="A9" s="4" t="s">
        <v>16</v>
      </c>
      <c r="B9" s="7">
        <v>0.22943934239195496</v>
      </c>
      <c r="D9" s="7">
        <v>48.360757634903081</v>
      </c>
    </row>
    <row r="10" spans="1:24" x14ac:dyDescent="0.15">
      <c r="A10" s="1" t="s">
        <v>16</v>
      </c>
      <c r="B10" s="7">
        <v>0.56210439490691932</v>
      </c>
      <c r="D10" s="7">
        <v>93.762994718453484</v>
      </c>
    </row>
    <row r="16" spans="1:24" x14ac:dyDescent="0.15">
      <c r="A16" s="5" t="s">
        <v>38</v>
      </c>
    </row>
    <row r="17" spans="1:18" x14ac:dyDescent="0.15">
      <c r="A17" s="1" t="s">
        <v>20</v>
      </c>
      <c r="B17" s="7">
        <v>10.404759390642768</v>
      </c>
      <c r="D17" s="7">
        <v>1.0886110046565201</v>
      </c>
    </row>
    <row r="18" spans="1:18" x14ac:dyDescent="0.15">
      <c r="A18" s="1" t="s">
        <v>20</v>
      </c>
      <c r="B18" s="7">
        <v>11.648209177290481</v>
      </c>
      <c r="D18" s="7">
        <v>1.100964415105582</v>
      </c>
    </row>
    <row r="20" spans="1:18" x14ac:dyDescent="0.15">
      <c r="A20" s="1" t="s">
        <v>21</v>
      </c>
      <c r="B20" s="7">
        <v>7.1624436384538344</v>
      </c>
      <c r="D20" s="7">
        <v>1.1645480276185041</v>
      </c>
    </row>
    <row r="21" spans="1:18" x14ac:dyDescent="0.15">
      <c r="A21" s="1" t="s">
        <v>21</v>
      </c>
      <c r="B21" s="7">
        <v>7.7344838630907651</v>
      </c>
      <c r="D21" s="7">
        <v>1.1788496707872236</v>
      </c>
    </row>
    <row r="23" spans="1:18" x14ac:dyDescent="0.15">
      <c r="A23" s="1" t="s">
        <v>22</v>
      </c>
      <c r="B23" s="7">
        <v>-0.89634048063839777</v>
      </c>
      <c r="D23" s="7">
        <v>-1.1434754220712817</v>
      </c>
      <c r="F23" s="11" t="s">
        <v>46</v>
      </c>
      <c r="G23" s="4" t="s">
        <v>47</v>
      </c>
      <c r="H23" s="4" t="s">
        <v>48</v>
      </c>
      <c r="I23" s="4" t="s">
        <v>49</v>
      </c>
      <c r="J23" s="1" t="s">
        <v>50</v>
      </c>
      <c r="K23" s="1" t="s">
        <v>51</v>
      </c>
      <c r="L23" s="1" t="s">
        <v>52</v>
      </c>
      <c r="M23" s="1" t="s">
        <v>53</v>
      </c>
      <c r="N23" s="1" t="s">
        <v>54</v>
      </c>
      <c r="O23" s="1" t="s">
        <v>55</v>
      </c>
      <c r="P23" s="1" t="s">
        <v>56</v>
      </c>
      <c r="Q23" s="1" t="s">
        <v>57</v>
      </c>
      <c r="R23" s="1" t="s">
        <v>58</v>
      </c>
    </row>
    <row r="24" spans="1:18" x14ac:dyDescent="0.15">
      <c r="A24" s="1" t="s">
        <v>22</v>
      </c>
      <c r="B24" s="7">
        <v>-0.8820396952367302</v>
      </c>
      <c r="D24" s="7">
        <v>-1.1219132173854456</v>
      </c>
      <c r="F24" s="11"/>
      <c r="G24" s="7">
        <v>78.236848850489295</v>
      </c>
      <c r="H24" s="7">
        <v>81.429489603931955</v>
      </c>
      <c r="I24" s="7">
        <v>93.762994718453484</v>
      </c>
      <c r="J24" s="7">
        <v>1.100964415105582</v>
      </c>
      <c r="K24" s="7">
        <v>1.1788496707872236</v>
      </c>
      <c r="L24" s="7">
        <v>-1.1219132173854456</v>
      </c>
      <c r="M24" s="7">
        <v>2.3725690914027746</v>
      </c>
      <c r="N24" s="7">
        <v>0.79315437773812747</v>
      </c>
      <c r="O24" s="7">
        <v>1.9473446201693971</v>
      </c>
      <c r="P24" s="7">
        <v>0.27538774328831739</v>
      </c>
      <c r="Q24" s="7">
        <v>0.11729108976517799</v>
      </c>
      <c r="R24" s="7">
        <v>-0.28924704786104449</v>
      </c>
    </row>
    <row r="30" spans="1:18" x14ac:dyDescent="0.15">
      <c r="A30" s="5" t="s">
        <v>38</v>
      </c>
    </row>
    <row r="31" spans="1:18" x14ac:dyDescent="0.15">
      <c r="A31" s="1" t="s">
        <v>26</v>
      </c>
      <c r="B31" s="7">
        <v>37.473216491407335</v>
      </c>
      <c r="D31" s="7">
        <v>2.2468165045977475</v>
      </c>
    </row>
    <row r="32" spans="1:18" x14ac:dyDescent="0.15">
      <c r="A32" s="1" t="s">
        <v>26</v>
      </c>
      <c r="B32" s="7">
        <v>60.497595062629522</v>
      </c>
      <c r="D32" s="7">
        <v>2.3725690914027746</v>
      </c>
    </row>
    <row r="34" spans="1:4" x14ac:dyDescent="0.15">
      <c r="A34" s="1" t="s">
        <v>27</v>
      </c>
      <c r="B34" s="7">
        <v>45.023306616362341</v>
      </c>
      <c r="D34" s="7">
        <v>0.70874620641497654</v>
      </c>
    </row>
    <row r="35" spans="1:4" x14ac:dyDescent="0.15">
      <c r="A35" s="1" t="s">
        <v>27</v>
      </c>
      <c r="B35" s="7">
        <v>82.497301687885752</v>
      </c>
      <c r="D35" s="7">
        <v>0.79315437773812747</v>
      </c>
    </row>
    <row r="37" spans="1:4" x14ac:dyDescent="0.15">
      <c r="A37" s="1" t="s">
        <v>28</v>
      </c>
      <c r="B37" s="7">
        <v>45.52822615356704</v>
      </c>
      <c r="D37" s="7">
        <v>1.8643088983437153</v>
      </c>
    </row>
    <row r="38" spans="1:4" x14ac:dyDescent="0.15">
      <c r="A38" s="1" t="s">
        <v>28</v>
      </c>
      <c r="B38" s="7">
        <v>83.968299198127383</v>
      </c>
      <c r="D38" s="7">
        <v>1.9473446201693971</v>
      </c>
    </row>
    <row r="44" spans="1:4" x14ac:dyDescent="0.15">
      <c r="A44" s="5" t="s">
        <v>38</v>
      </c>
    </row>
    <row r="45" spans="1:4" x14ac:dyDescent="0.15">
      <c r="A45" s="1" t="s">
        <v>32</v>
      </c>
      <c r="B45" s="7">
        <v>0.27025128851979185</v>
      </c>
      <c r="D45" s="7">
        <v>0.22692667428836419</v>
      </c>
    </row>
    <row r="46" spans="1:4" x14ac:dyDescent="0.15">
      <c r="A46" s="1" t="s">
        <v>32</v>
      </c>
      <c r="B46" s="7">
        <v>0.28720141299141178</v>
      </c>
      <c r="D46" s="7">
        <v>0.27538774328831739</v>
      </c>
    </row>
    <row r="48" spans="1:4" x14ac:dyDescent="0.15">
      <c r="A48" s="1" t="s">
        <v>33</v>
      </c>
      <c r="B48" s="7">
        <v>2.7051291295475646</v>
      </c>
      <c r="D48" s="7">
        <v>8.5611493364261299E-2</v>
      </c>
    </row>
    <row r="49" spans="1:4" x14ac:dyDescent="0.15">
      <c r="A49" s="1" t="s">
        <v>33</v>
      </c>
      <c r="B49" s="7">
        <v>2.871138140620193</v>
      </c>
      <c r="D49" s="7">
        <v>0.11729108976517799</v>
      </c>
    </row>
    <row r="51" spans="1:4" x14ac:dyDescent="0.15">
      <c r="A51" s="1" t="s">
        <v>34</v>
      </c>
      <c r="B51" s="7">
        <v>0.67599419336984168</v>
      </c>
      <c r="D51" s="7">
        <v>-0.33990606349348013</v>
      </c>
    </row>
    <row r="52" spans="1:4" x14ac:dyDescent="0.15">
      <c r="A52" s="1" t="s">
        <v>34</v>
      </c>
      <c r="B52" s="7">
        <v>0.70365742231399009</v>
      </c>
      <c r="D52" s="7">
        <v>-0.28924704786104449</v>
      </c>
    </row>
  </sheetData>
  <mergeCells count="2">
    <mergeCell ref="F2:F3"/>
    <mergeCell ref="F23:F24"/>
  </mergeCells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97"/>
  <sheetViews>
    <sheetView zoomScaleNormal="100" workbookViewId="0"/>
  </sheetViews>
  <sheetFormatPr defaultRowHeight="13.5" x14ac:dyDescent="0.15"/>
  <cols>
    <col min="1" max="1" width="22" bestFit="1" customWidth="1"/>
    <col min="2" max="7" width="4.5" bestFit="1" customWidth="1"/>
    <col min="8" max="12" width="6.5" style="3" customWidth="1"/>
    <col min="13" max="45" width="6.5" bestFit="1" customWidth="1"/>
    <col min="46" max="48" width="6.5" style="3" customWidth="1"/>
  </cols>
  <sheetData>
    <row r="1" spans="1:48" x14ac:dyDescent="0.15">
      <c r="A1" s="1" t="s">
        <v>59</v>
      </c>
      <c r="B1" s="2" t="s">
        <v>1</v>
      </c>
      <c r="C1" s="2" t="s">
        <v>2</v>
      </c>
      <c r="D1" s="2" t="s">
        <v>1</v>
      </c>
      <c r="E1" s="2" t="s">
        <v>2</v>
      </c>
      <c r="F1" s="2" t="s">
        <v>1</v>
      </c>
      <c r="G1" s="2" t="s">
        <v>2</v>
      </c>
      <c r="H1" s="3" t="s">
        <v>43</v>
      </c>
      <c r="I1" s="3" t="s">
        <v>44</v>
      </c>
      <c r="J1" s="3" t="s">
        <v>42</v>
      </c>
      <c r="M1" s="2" t="s">
        <v>3</v>
      </c>
      <c r="N1" s="2" t="s">
        <v>4</v>
      </c>
      <c r="O1" s="2" t="s">
        <v>5</v>
      </c>
      <c r="P1" s="2" t="s">
        <v>6</v>
      </c>
      <c r="Q1" s="2" t="s">
        <v>7</v>
      </c>
      <c r="R1" s="2" t="s">
        <v>8</v>
      </c>
      <c r="S1" s="2" t="s">
        <v>9</v>
      </c>
      <c r="T1" s="2" t="s">
        <v>10</v>
      </c>
      <c r="U1" s="2" t="s">
        <v>11</v>
      </c>
      <c r="V1" s="2" t="s">
        <v>12</v>
      </c>
      <c r="W1" s="2" t="s">
        <v>13</v>
      </c>
      <c r="X1" s="2" t="s">
        <v>3</v>
      </c>
      <c r="Y1" s="2" t="s">
        <v>4</v>
      </c>
      <c r="Z1" s="2" t="s">
        <v>5</v>
      </c>
      <c r="AA1" s="2" t="s">
        <v>6</v>
      </c>
      <c r="AB1" s="2" t="s">
        <v>7</v>
      </c>
      <c r="AC1" s="2" t="s">
        <v>8</v>
      </c>
      <c r="AD1" s="2" t="s">
        <v>9</v>
      </c>
      <c r="AE1" s="2" t="s">
        <v>10</v>
      </c>
      <c r="AF1" s="2" t="s">
        <v>11</v>
      </c>
      <c r="AG1" s="2" t="s">
        <v>12</v>
      </c>
      <c r="AH1" s="2" t="s">
        <v>13</v>
      </c>
      <c r="AI1" s="2" t="s">
        <v>3</v>
      </c>
      <c r="AJ1" s="2" t="s">
        <v>4</v>
      </c>
      <c r="AK1" s="2" t="s">
        <v>5</v>
      </c>
      <c r="AL1" s="2" t="s">
        <v>6</v>
      </c>
      <c r="AM1" s="2" t="s">
        <v>7</v>
      </c>
      <c r="AN1" s="2" t="s">
        <v>8</v>
      </c>
      <c r="AO1" s="2" t="s">
        <v>9</v>
      </c>
      <c r="AP1" s="2" t="s">
        <v>10</v>
      </c>
      <c r="AQ1" s="2" t="s">
        <v>11</v>
      </c>
      <c r="AR1" s="2" t="s">
        <v>12</v>
      </c>
      <c r="AS1" s="2" t="s">
        <v>13</v>
      </c>
      <c r="AT1" s="3" t="s">
        <v>43</v>
      </c>
      <c r="AU1" s="3" t="s">
        <v>44</v>
      </c>
      <c r="AV1" s="3" t="s">
        <v>42</v>
      </c>
    </row>
    <row r="2" spans="1:48" x14ac:dyDescent="0.15">
      <c r="A2" s="5" t="s">
        <v>38</v>
      </c>
      <c r="H2" s="2"/>
      <c r="I2" s="2"/>
      <c r="J2" s="2"/>
      <c r="K2" s="2"/>
      <c r="L2" s="2"/>
      <c r="AT2" s="2"/>
      <c r="AU2" s="2"/>
      <c r="AV2" s="2"/>
    </row>
    <row r="3" spans="1:48" x14ac:dyDescent="0.15">
      <c r="A3" s="1" t="s">
        <v>17</v>
      </c>
      <c r="B3" s="3">
        <v>249</v>
      </c>
      <c r="C3" s="3">
        <v>249</v>
      </c>
      <c r="D3" s="3">
        <v>252</v>
      </c>
      <c r="E3" s="3">
        <v>251</v>
      </c>
      <c r="F3" s="3">
        <v>248</v>
      </c>
      <c r="G3" s="3">
        <v>233</v>
      </c>
      <c r="H3" s="3">
        <f>MIN(B3:G3)</f>
        <v>233</v>
      </c>
      <c r="I3" s="3">
        <f>MAX(B3:G3)</f>
        <v>252</v>
      </c>
      <c r="J3" s="3">
        <f>AVERAGE(B3:G3)</f>
        <v>247</v>
      </c>
      <c r="M3" s="3">
        <v>1.5589999999999999</v>
      </c>
      <c r="N3" s="3">
        <v>1.56</v>
      </c>
      <c r="O3" s="3">
        <v>1.583</v>
      </c>
      <c r="P3" s="3">
        <v>1.58</v>
      </c>
      <c r="Q3" s="3">
        <v>1.6759999999999999</v>
      </c>
      <c r="R3" s="3">
        <v>1.5429999999999999</v>
      </c>
      <c r="S3" s="3">
        <v>1.62</v>
      </c>
      <c r="T3" s="3">
        <v>1.716</v>
      </c>
      <c r="U3" s="3">
        <v>1.702</v>
      </c>
      <c r="V3" s="3">
        <v>1.5049999999999999</v>
      </c>
      <c r="W3" s="3">
        <v>1.5469999999999999</v>
      </c>
      <c r="X3" s="3">
        <v>1.577</v>
      </c>
      <c r="Y3" s="3">
        <v>1.7509999999999999</v>
      </c>
      <c r="Z3" s="3">
        <v>1.607</v>
      </c>
      <c r="AA3" s="3">
        <v>1.7310000000000001</v>
      </c>
      <c r="AB3" s="3">
        <v>1.43</v>
      </c>
      <c r="AC3" s="3">
        <v>1.62</v>
      </c>
      <c r="AD3" s="3">
        <v>1.6990000000000001</v>
      </c>
      <c r="AE3" s="3">
        <v>1.6020000000000001</v>
      </c>
      <c r="AF3" s="3">
        <v>1.573</v>
      </c>
      <c r="AG3" s="3">
        <v>1.5349999999999999</v>
      </c>
      <c r="AH3" s="3">
        <v>1.629</v>
      </c>
      <c r="AI3" s="3">
        <v>1.6220000000000001</v>
      </c>
      <c r="AJ3" s="3">
        <v>1.6950000000000001</v>
      </c>
      <c r="AK3" s="3">
        <v>1.643</v>
      </c>
      <c r="AL3" s="3">
        <v>1.617</v>
      </c>
      <c r="AM3" s="3">
        <v>1.591</v>
      </c>
      <c r="AN3" s="3">
        <v>1.663</v>
      </c>
      <c r="AO3" s="3">
        <v>1.65</v>
      </c>
      <c r="AP3" s="3">
        <v>1.615</v>
      </c>
      <c r="AQ3" s="3">
        <v>1.524</v>
      </c>
      <c r="AR3" s="3">
        <v>1.6870000000000001</v>
      </c>
      <c r="AS3" s="3">
        <v>1.73</v>
      </c>
      <c r="AT3" s="3">
        <f>MIN(M3:AS3)</f>
        <v>1.43</v>
      </c>
      <c r="AU3" s="3">
        <f>MAX(M3:AS3)</f>
        <v>1.7509999999999999</v>
      </c>
      <c r="AV3" s="3">
        <f>AVERAGE(M3:AS3)</f>
        <v>1.6176363636363633</v>
      </c>
    </row>
    <row r="4" spans="1:48" x14ac:dyDescent="0.15">
      <c r="A4" s="1" t="s">
        <v>17</v>
      </c>
      <c r="B4" s="3">
        <v>126</v>
      </c>
      <c r="C4" s="3">
        <v>124</v>
      </c>
      <c r="D4" s="3">
        <v>138</v>
      </c>
      <c r="E4" s="3">
        <v>144</v>
      </c>
      <c r="F4" s="3">
        <v>127</v>
      </c>
      <c r="G4" s="3">
        <v>127</v>
      </c>
      <c r="H4" s="3">
        <f>MIN(B4:G4)</f>
        <v>124</v>
      </c>
      <c r="I4" s="3">
        <f>MAX(B4:G4)</f>
        <v>144</v>
      </c>
      <c r="J4" s="3">
        <f>AVERAGE(B4:G4)</f>
        <v>131</v>
      </c>
      <c r="M4" s="3">
        <v>0.89400000000000002</v>
      </c>
      <c r="N4" s="3">
        <v>0.89300000000000002</v>
      </c>
      <c r="O4" s="3">
        <v>0.89600000000000002</v>
      </c>
      <c r="P4" s="3">
        <v>0.90100000000000002</v>
      </c>
      <c r="Q4" s="3">
        <v>0.94</v>
      </c>
      <c r="R4" s="3">
        <v>0.879</v>
      </c>
      <c r="S4" s="3">
        <v>0.91600000000000004</v>
      </c>
      <c r="T4" s="3">
        <v>0.94299999999999995</v>
      </c>
      <c r="U4" s="3">
        <v>0.94</v>
      </c>
      <c r="V4" s="3">
        <v>0.86599999999999999</v>
      </c>
      <c r="W4" s="3">
        <v>0.87</v>
      </c>
      <c r="X4" s="3">
        <v>0.89100000000000001</v>
      </c>
      <c r="Y4" s="3">
        <v>0.94399999999999995</v>
      </c>
      <c r="Z4" s="3">
        <v>0.89900000000000002</v>
      </c>
      <c r="AA4" s="3">
        <v>0.94</v>
      </c>
      <c r="AB4" s="3">
        <v>0.83299999999999996</v>
      </c>
      <c r="AC4" s="3">
        <v>0.90400000000000003</v>
      </c>
      <c r="AD4" s="3">
        <v>0.93700000000000006</v>
      </c>
      <c r="AE4" s="3">
        <v>0.89700000000000002</v>
      </c>
      <c r="AF4" s="3">
        <v>0.88300000000000001</v>
      </c>
      <c r="AG4" s="3">
        <v>0.872</v>
      </c>
      <c r="AH4" s="3">
        <v>0.90600000000000003</v>
      </c>
      <c r="AI4" s="3">
        <v>0.90400000000000003</v>
      </c>
      <c r="AJ4" s="3">
        <v>0.95899999999999996</v>
      </c>
      <c r="AK4" s="3">
        <v>0.91500000000000004</v>
      </c>
      <c r="AL4" s="3">
        <v>0.90200000000000002</v>
      </c>
      <c r="AM4" s="3">
        <v>0.90300000000000002</v>
      </c>
      <c r="AN4" s="3">
        <v>0.91900000000000004</v>
      </c>
      <c r="AO4" s="3">
        <v>0.92</v>
      </c>
      <c r="AP4" s="3">
        <v>0.90900000000000003</v>
      </c>
      <c r="AQ4" s="3">
        <v>0.88</v>
      </c>
      <c r="AR4" s="3">
        <v>0.93799999999999994</v>
      </c>
      <c r="AS4" s="3">
        <v>0.97299999999999998</v>
      </c>
      <c r="AT4" s="3">
        <f>MIN(M4:AS4)</f>
        <v>0.83299999999999996</v>
      </c>
      <c r="AU4" s="3">
        <f>MAX(M4:AS4)</f>
        <v>0.97299999999999998</v>
      </c>
      <c r="AV4" s="3">
        <f>AVERAGE(M4:AS4)</f>
        <v>0.90806060606060579</v>
      </c>
    </row>
    <row r="5" spans="1:48" x14ac:dyDescent="0.15">
      <c r="A5" s="6" t="s">
        <v>39</v>
      </c>
      <c r="B5" s="3">
        <f t="shared" ref="B5:G5" si="0">B3-B4</f>
        <v>123</v>
      </c>
      <c r="C5" s="3">
        <f t="shared" si="0"/>
        <v>125</v>
      </c>
      <c r="D5" s="3">
        <f t="shared" si="0"/>
        <v>114</v>
      </c>
      <c r="E5" s="3">
        <f t="shared" si="0"/>
        <v>107</v>
      </c>
      <c r="F5" s="3">
        <f t="shared" si="0"/>
        <v>121</v>
      </c>
      <c r="G5" s="3">
        <f t="shared" si="0"/>
        <v>106</v>
      </c>
      <c r="H5" s="3">
        <f>MIN(B5:G5)</f>
        <v>106</v>
      </c>
      <c r="I5" s="3">
        <f>MAX(B5:G5)</f>
        <v>125</v>
      </c>
      <c r="J5" s="3">
        <f>AVERAGE(B5:G5)</f>
        <v>116</v>
      </c>
      <c r="M5" s="3">
        <f t="shared" ref="M5:AS5" si="1">M3-M4</f>
        <v>0.66499999999999992</v>
      </c>
      <c r="N5" s="3">
        <f t="shared" si="1"/>
        <v>0.66700000000000004</v>
      </c>
      <c r="O5" s="3">
        <f t="shared" si="1"/>
        <v>0.68699999999999994</v>
      </c>
      <c r="P5" s="3">
        <f t="shared" si="1"/>
        <v>0.67900000000000005</v>
      </c>
      <c r="Q5" s="3">
        <f t="shared" si="1"/>
        <v>0.73599999999999999</v>
      </c>
      <c r="R5" s="3">
        <f t="shared" si="1"/>
        <v>0.66399999999999992</v>
      </c>
      <c r="S5" s="3">
        <f t="shared" si="1"/>
        <v>0.70400000000000007</v>
      </c>
      <c r="T5" s="3">
        <f t="shared" si="1"/>
        <v>0.77300000000000002</v>
      </c>
      <c r="U5" s="3">
        <f t="shared" si="1"/>
        <v>0.76200000000000001</v>
      </c>
      <c r="V5" s="3">
        <f t="shared" si="1"/>
        <v>0.6389999999999999</v>
      </c>
      <c r="W5" s="3">
        <f t="shared" si="1"/>
        <v>0.67699999999999994</v>
      </c>
      <c r="X5" s="3">
        <f t="shared" si="1"/>
        <v>0.68599999999999994</v>
      </c>
      <c r="Y5" s="3">
        <f t="shared" si="1"/>
        <v>0.80699999999999994</v>
      </c>
      <c r="Z5" s="3">
        <f t="shared" si="1"/>
        <v>0.70799999999999996</v>
      </c>
      <c r="AA5" s="3">
        <f t="shared" si="1"/>
        <v>0.79100000000000015</v>
      </c>
      <c r="AB5" s="3">
        <f t="shared" si="1"/>
        <v>0.59699999999999998</v>
      </c>
      <c r="AC5" s="3">
        <f t="shared" si="1"/>
        <v>0.71600000000000008</v>
      </c>
      <c r="AD5" s="3">
        <f t="shared" si="1"/>
        <v>0.76200000000000001</v>
      </c>
      <c r="AE5" s="3">
        <f t="shared" si="1"/>
        <v>0.70500000000000007</v>
      </c>
      <c r="AF5" s="3">
        <f t="shared" si="1"/>
        <v>0.69</v>
      </c>
      <c r="AG5" s="3">
        <f t="shared" si="1"/>
        <v>0.66299999999999992</v>
      </c>
      <c r="AH5" s="3">
        <f t="shared" si="1"/>
        <v>0.72299999999999998</v>
      </c>
      <c r="AI5" s="3">
        <f t="shared" si="1"/>
        <v>0.71800000000000008</v>
      </c>
      <c r="AJ5" s="3">
        <f t="shared" si="1"/>
        <v>0.7360000000000001</v>
      </c>
      <c r="AK5" s="3">
        <f t="shared" si="1"/>
        <v>0.72799999999999998</v>
      </c>
      <c r="AL5" s="3">
        <f t="shared" si="1"/>
        <v>0.71499999999999997</v>
      </c>
      <c r="AM5" s="3">
        <f t="shared" si="1"/>
        <v>0.68799999999999994</v>
      </c>
      <c r="AN5" s="3">
        <f t="shared" si="1"/>
        <v>0.74399999999999999</v>
      </c>
      <c r="AO5" s="3">
        <f t="shared" si="1"/>
        <v>0.72999999999999987</v>
      </c>
      <c r="AP5" s="3">
        <f t="shared" si="1"/>
        <v>0.70599999999999996</v>
      </c>
      <c r="AQ5" s="3">
        <f t="shared" si="1"/>
        <v>0.64400000000000002</v>
      </c>
      <c r="AR5" s="3">
        <f t="shared" si="1"/>
        <v>0.74900000000000011</v>
      </c>
      <c r="AS5" s="3">
        <f t="shared" si="1"/>
        <v>0.75700000000000001</v>
      </c>
      <c r="AT5" s="3">
        <f>MIN(M5:AS5)</f>
        <v>0.59699999999999998</v>
      </c>
      <c r="AU5" s="3">
        <f>MAX(M5:AS5)</f>
        <v>0.80699999999999994</v>
      </c>
      <c r="AV5" s="3">
        <f>AVERAGE(M5:AS5)</f>
        <v>0.70957575757575764</v>
      </c>
    </row>
    <row r="6" spans="1:48" x14ac:dyDescent="0.15">
      <c r="A6" s="6" t="s">
        <v>40</v>
      </c>
      <c r="B6" s="3">
        <f t="shared" ref="B6:G6" si="2">B5/B3*100</f>
        <v>49.397590361445779</v>
      </c>
      <c r="C6" s="3">
        <f t="shared" si="2"/>
        <v>50.200803212851412</v>
      </c>
      <c r="D6" s="3">
        <f t="shared" si="2"/>
        <v>45.238095238095241</v>
      </c>
      <c r="E6" s="3">
        <f t="shared" si="2"/>
        <v>42.629482071713149</v>
      </c>
      <c r="F6" s="3">
        <f t="shared" si="2"/>
        <v>48.79032258064516</v>
      </c>
      <c r="G6" s="3">
        <f t="shared" si="2"/>
        <v>45.493562231759654</v>
      </c>
      <c r="H6" s="3">
        <f>MIN(B6:G6)</f>
        <v>42.629482071713149</v>
      </c>
      <c r="I6" s="3">
        <f>MAX(B6:G6)</f>
        <v>50.200803212851412</v>
      </c>
      <c r="J6" s="7">
        <f>AVERAGE(B6:G6)</f>
        <v>46.958309282751735</v>
      </c>
      <c r="M6" s="3">
        <f t="shared" ref="M6:AS6" si="3">M5/M3*100</f>
        <v>42.65554842847979</v>
      </c>
      <c r="N6" s="3">
        <f t="shared" si="3"/>
        <v>42.756410256410263</v>
      </c>
      <c r="O6" s="3">
        <f t="shared" si="3"/>
        <v>43.398610233733415</v>
      </c>
      <c r="P6" s="3">
        <f t="shared" si="3"/>
        <v>42.974683544303801</v>
      </c>
      <c r="Q6" s="3">
        <f t="shared" si="3"/>
        <v>43.914081145584724</v>
      </c>
      <c r="R6" s="3">
        <f t="shared" si="3"/>
        <v>43.033052495139337</v>
      </c>
      <c r="S6" s="3">
        <f t="shared" si="3"/>
        <v>43.456790123456791</v>
      </c>
      <c r="T6" s="3">
        <f t="shared" si="3"/>
        <v>45.046620046620049</v>
      </c>
      <c r="U6" s="3">
        <f t="shared" si="3"/>
        <v>44.770857814336082</v>
      </c>
      <c r="V6" s="3">
        <f t="shared" si="3"/>
        <v>42.458471760797337</v>
      </c>
      <c r="W6" s="3">
        <f t="shared" si="3"/>
        <v>43.762120232708469</v>
      </c>
      <c r="X6" s="3">
        <f t="shared" si="3"/>
        <v>43.5003170577045</v>
      </c>
      <c r="Y6" s="3">
        <f t="shared" si="3"/>
        <v>46.087949743003996</v>
      </c>
      <c r="Z6" s="3">
        <f t="shared" si="3"/>
        <v>44.057249533291845</v>
      </c>
      <c r="AA6" s="3">
        <f t="shared" si="3"/>
        <v>45.696129404968232</v>
      </c>
      <c r="AB6" s="3">
        <f t="shared" si="3"/>
        <v>41.748251748251747</v>
      </c>
      <c r="AC6" s="3">
        <f t="shared" si="3"/>
        <v>44.197530864197532</v>
      </c>
      <c r="AD6" s="3">
        <f t="shared" si="3"/>
        <v>44.849911712772219</v>
      </c>
      <c r="AE6" s="3">
        <f t="shared" si="3"/>
        <v>44.007490636704119</v>
      </c>
      <c r="AF6" s="3">
        <f t="shared" si="3"/>
        <v>43.865225683407502</v>
      </c>
      <c r="AG6" s="3">
        <f t="shared" si="3"/>
        <v>43.192182410423449</v>
      </c>
      <c r="AH6" s="3">
        <f t="shared" si="3"/>
        <v>44.383057090239411</v>
      </c>
      <c r="AI6" s="3">
        <f t="shared" si="3"/>
        <v>44.26633785450062</v>
      </c>
      <c r="AJ6" s="3">
        <f t="shared" si="3"/>
        <v>43.421828908554581</v>
      </c>
      <c r="AK6" s="3">
        <f t="shared" si="3"/>
        <v>44.309190505173461</v>
      </c>
      <c r="AL6" s="3">
        <f t="shared" si="3"/>
        <v>44.217687074829932</v>
      </c>
      <c r="AM6" s="3">
        <f t="shared" si="3"/>
        <v>43.243243243243242</v>
      </c>
      <c r="AN6" s="3">
        <f t="shared" si="3"/>
        <v>44.738424533974744</v>
      </c>
      <c r="AO6" s="3">
        <f t="shared" si="3"/>
        <v>44.242424242424235</v>
      </c>
      <c r="AP6" s="3">
        <f t="shared" si="3"/>
        <v>43.715170278637764</v>
      </c>
      <c r="AQ6" s="3">
        <f t="shared" si="3"/>
        <v>42.257217847769027</v>
      </c>
      <c r="AR6" s="3">
        <f t="shared" si="3"/>
        <v>44.398340248962661</v>
      </c>
      <c r="AS6" s="3">
        <f t="shared" si="3"/>
        <v>43.757225433526017</v>
      </c>
      <c r="AT6" s="3">
        <f>MIN(M6:AS6)</f>
        <v>41.748251748251747</v>
      </c>
      <c r="AU6" s="3">
        <f>MAX(M6:AS6)</f>
        <v>46.087949743003996</v>
      </c>
      <c r="AV6" s="7">
        <f>AVERAGE(M6:AS6)</f>
        <v>43.829685822367608</v>
      </c>
    </row>
    <row r="7" spans="1:48" x14ac:dyDescent="0.15">
      <c r="A7" s="6" t="s">
        <v>41</v>
      </c>
      <c r="B7" s="3">
        <f t="shared" ref="B7:G7" si="4">B5/B4*100</f>
        <v>97.61904761904762</v>
      </c>
      <c r="C7" s="3">
        <f t="shared" si="4"/>
        <v>100.80645161290323</v>
      </c>
      <c r="D7" s="3">
        <f t="shared" si="4"/>
        <v>82.608695652173907</v>
      </c>
      <c r="E7" s="3">
        <f t="shared" si="4"/>
        <v>74.305555555555557</v>
      </c>
      <c r="F7" s="3">
        <f t="shared" si="4"/>
        <v>95.275590551181097</v>
      </c>
      <c r="G7" s="3">
        <f t="shared" si="4"/>
        <v>83.464566929133852</v>
      </c>
      <c r="H7" s="3">
        <f>MIN(B7:G7)</f>
        <v>74.305555555555557</v>
      </c>
      <c r="I7" s="3">
        <f>MAX(B7:G7)</f>
        <v>100.80645161290323</v>
      </c>
      <c r="J7" s="7">
        <f>AVERAGE(B7:G7)</f>
        <v>89.013317986665868</v>
      </c>
      <c r="M7" s="3">
        <f t="shared" ref="M7:AS7" si="5">M5/M4*100</f>
        <v>74.384787472035782</v>
      </c>
      <c r="N7" s="3">
        <f t="shared" si="5"/>
        <v>74.692049272116463</v>
      </c>
      <c r="O7" s="3">
        <f t="shared" si="5"/>
        <v>76.674107142857139</v>
      </c>
      <c r="P7" s="3">
        <f t="shared" si="5"/>
        <v>75.360710321864602</v>
      </c>
      <c r="Q7" s="3">
        <f t="shared" si="5"/>
        <v>78.297872340425528</v>
      </c>
      <c r="R7" s="3">
        <f t="shared" si="5"/>
        <v>75.540386803185427</v>
      </c>
      <c r="S7" s="3">
        <f t="shared" si="5"/>
        <v>76.855895196506552</v>
      </c>
      <c r="T7" s="3">
        <f t="shared" si="5"/>
        <v>81.972428419936378</v>
      </c>
      <c r="U7" s="3">
        <f t="shared" si="5"/>
        <v>81.063829787234042</v>
      </c>
      <c r="V7" s="3">
        <f t="shared" si="5"/>
        <v>73.787528868360269</v>
      </c>
      <c r="W7" s="3">
        <f t="shared" si="5"/>
        <v>77.81609195402298</v>
      </c>
      <c r="X7" s="3">
        <f t="shared" si="5"/>
        <v>76.992143658810321</v>
      </c>
      <c r="Y7" s="3">
        <f t="shared" si="5"/>
        <v>85.487288135593218</v>
      </c>
      <c r="Z7" s="3">
        <f t="shared" si="5"/>
        <v>78.754171301446036</v>
      </c>
      <c r="AA7" s="3">
        <f t="shared" si="5"/>
        <v>84.148936170212778</v>
      </c>
      <c r="AB7" s="3">
        <f t="shared" si="5"/>
        <v>71.66866746698679</v>
      </c>
      <c r="AC7" s="3">
        <f t="shared" si="5"/>
        <v>79.203539823008867</v>
      </c>
      <c r="AD7" s="3">
        <f t="shared" si="5"/>
        <v>81.323372465314833</v>
      </c>
      <c r="AE7" s="3">
        <f t="shared" si="5"/>
        <v>78.595317725752508</v>
      </c>
      <c r="AF7" s="3">
        <f t="shared" si="5"/>
        <v>78.142695356738386</v>
      </c>
      <c r="AG7" s="3">
        <f t="shared" si="5"/>
        <v>76.032110091743107</v>
      </c>
      <c r="AH7" s="3">
        <f t="shared" si="5"/>
        <v>79.80132450331125</v>
      </c>
      <c r="AI7" s="3">
        <f t="shared" si="5"/>
        <v>79.424778761061958</v>
      </c>
      <c r="AJ7" s="3">
        <f t="shared" si="5"/>
        <v>76.746611053180416</v>
      </c>
      <c r="AK7" s="3">
        <f t="shared" si="5"/>
        <v>79.562841530054641</v>
      </c>
      <c r="AL7" s="3">
        <f t="shared" si="5"/>
        <v>79.268292682926827</v>
      </c>
      <c r="AM7" s="3">
        <f t="shared" si="5"/>
        <v>76.19047619047619</v>
      </c>
      <c r="AN7" s="3">
        <f t="shared" si="5"/>
        <v>80.957562568008697</v>
      </c>
      <c r="AO7" s="3">
        <f t="shared" si="5"/>
        <v>79.347826086956502</v>
      </c>
      <c r="AP7" s="3">
        <f t="shared" si="5"/>
        <v>77.667766776677666</v>
      </c>
      <c r="AQ7" s="3">
        <f t="shared" si="5"/>
        <v>73.181818181818187</v>
      </c>
      <c r="AR7" s="3">
        <f t="shared" si="5"/>
        <v>79.850746268656735</v>
      </c>
      <c r="AS7" s="3">
        <f t="shared" si="5"/>
        <v>77.800616649537517</v>
      </c>
      <c r="AT7" s="3">
        <f>MIN(M7:AS7)</f>
        <v>71.66866746698679</v>
      </c>
      <c r="AU7" s="3">
        <f>MAX(M7:AS7)</f>
        <v>85.487288135593218</v>
      </c>
      <c r="AV7" s="7">
        <f>AVERAGE(M7:AS7)</f>
        <v>78.078623970509625</v>
      </c>
    </row>
    <row r="8" spans="1:48" x14ac:dyDescent="0.15">
      <c r="B8" s="3"/>
      <c r="C8" s="3"/>
      <c r="D8" s="3"/>
      <c r="E8" s="3"/>
      <c r="F8" s="3"/>
      <c r="G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</row>
    <row r="9" spans="1:48" x14ac:dyDescent="0.15">
      <c r="A9" s="1" t="s">
        <v>18</v>
      </c>
      <c r="B9" s="3">
        <v>335</v>
      </c>
      <c r="C9" s="3">
        <v>337</v>
      </c>
      <c r="D9" s="3">
        <v>347</v>
      </c>
      <c r="E9" s="3">
        <v>330</v>
      </c>
      <c r="F9" s="3">
        <v>320</v>
      </c>
      <c r="G9" s="3">
        <v>327</v>
      </c>
      <c r="H9" s="3">
        <f>MIN(B9:G9)</f>
        <v>320</v>
      </c>
      <c r="I9" s="3">
        <f>MAX(B9:G9)</f>
        <v>347</v>
      </c>
      <c r="J9" s="3">
        <f>AVERAGE(B9:G9)</f>
        <v>332.66666666666669</v>
      </c>
      <c r="M9" s="3">
        <v>3.1949999999999998</v>
      </c>
      <c r="N9" s="3">
        <v>3.1949999999999998</v>
      </c>
      <c r="O9" s="3">
        <v>3.23</v>
      </c>
      <c r="P9" s="3">
        <v>3.2349999999999999</v>
      </c>
      <c r="Q9" s="3">
        <v>3.3839999999999999</v>
      </c>
      <c r="R9" s="3">
        <v>3.0830000000000002</v>
      </c>
      <c r="S9" s="3">
        <v>3.274</v>
      </c>
      <c r="T9" s="3">
        <v>3.45</v>
      </c>
      <c r="U9" s="3">
        <v>3.4390000000000001</v>
      </c>
      <c r="V9" s="3">
        <v>3.0870000000000002</v>
      </c>
      <c r="W9" s="3">
        <v>3.125</v>
      </c>
      <c r="X9" s="3">
        <v>3.1680000000000001</v>
      </c>
      <c r="Y9" s="3">
        <v>3.5409999999999999</v>
      </c>
      <c r="Z9" s="3">
        <v>3.2469999999999999</v>
      </c>
      <c r="AA9" s="3">
        <v>3.4750000000000001</v>
      </c>
      <c r="AB9" s="3">
        <v>2.8969999999999998</v>
      </c>
      <c r="AC9" s="3">
        <v>3.23</v>
      </c>
      <c r="AD9" s="3">
        <v>3.4540000000000002</v>
      </c>
      <c r="AE9" s="3">
        <v>3.2320000000000002</v>
      </c>
      <c r="AF9" s="3">
        <v>3.13</v>
      </c>
      <c r="AG9" s="3">
        <v>3.0939999999999999</v>
      </c>
      <c r="AH9" s="3">
        <v>3.2759999999999998</v>
      </c>
      <c r="AI9" s="3">
        <v>3.2789999999999999</v>
      </c>
      <c r="AJ9" s="3">
        <v>3.5150000000000001</v>
      </c>
      <c r="AK9" s="3">
        <v>3.3559999999999999</v>
      </c>
      <c r="AL9" s="3">
        <v>3.3210000000000002</v>
      </c>
      <c r="AM9" s="3">
        <v>3.1659999999999999</v>
      </c>
      <c r="AN9" s="3">
        <v>3.3220000000000001</v>
      </c>
      <c r="AO9" s="3">
        <v>3.3479999999999999</v>
      </c>
      <c r="AP9" s="3">
        <v>3.278</v>
      </c>
      <c r="AQ9" s="3">
        <v>3.0339999999999998</v>
      </c>
      <c r="AR9" s="3">
        <v>3.4009999999999998</v>
      </c>
      <c r="AS9" s="3">
        <v>3.573</v>
      </c>
      <c r="AT9" s="3">
        <f>MIN(M9:AS9)</f>
        <v>2.8969999999999998</v>
      </c>
      <c r="AU9" s="3">
        <f>MAX(M9:AS9)</f>
        <v>3.573</v>
      </c>
      <c r="AV9" s="3">
        <f>AVERAGE(M9:AS9)</f>
        <v>3.2737575757575748</v>
      </c>
    </row>
    <row r="10" spans="1:48" x14ac:dyDescent="0.15">
      <c r="A10" s="1" t="s">
        <v>18</v>
      </c>
      <c r="B10" s="3">
        <v>201</v>
      </c>
      <c r="C10" s="3">
        <v>197</v>
      </c>
      <c r="D10" s="3">
        <v>215</v>
      </c>
      <c r="E10" s="3">
        <v>229</v>
      </c>
      <c r="F10" s="3">
        <v>202</v>
      </c>
      <c r="G10" s="3">
        <v>202</v>
      </c>
      <c r="H10" s="3">
        <f>MIN(B10:G10)</f>
        <v>197</v>
      </c>
      <c r="I10" s="3">
        <f>MAX(B10:G10)</f>
        <v>229</v>
      </c>
      <c r="J10" s="3">
        <f>AVERAGE(B10:G10)</f>
        <v>207.66666666666666</v>
      </c>
      <c r="M10" s="3">
        <v>1.778</v>
      </c>
      <c r="N10" s="3">
        <v>1.77</v>
      </c>
      <c r="O10" s="3">
        <v>1.78</v>
      </c>
      <c r="P10" s="3">
        <v>1.794</v>
      </c>
      <c r="Q10" s="3">
        <v>1.863</v>
      </c>
      <c r="R10" s="3">
        <v>1.724</v>
      </c>
      <c r="S10" s="3">
        <v>1.83</v>
      </c>
      <c r="T10" s="3">
        <v>1.875</v>
      </c>
      <c r="U10" s="3">
        <v>1.8720000000000001</v>
      </c>
      <c r="V10" s="3">
        <v>1.718</v>
      </c>
      <c r="W10" s="3">
        <v>1.732</v>
      </c>
      <c r="X10" s="3">
        <v>1.7669999999999999</v>
      </c>
      <c r="Y10" s="3">
        <v>1.897</v>
      </c>
      <c r="Z10" s="3">
        <v>1.7849999999999999</v>
      </c>
      <c r="AA10" s="3">
        <v>1.8660000000000001</v>
      </c>
      <c r="AB10" s="3">
        <v>1.641</v>
      </c>
      <c r="AC10" s="3">
        <v>1.8</v>
      </c>
      <c r="AD10" s="3">
        <v>1.871</v>
      </c>
      <c r="AE10" s="3">
        <v>1.7869999999999999</v>
      </c>
      <c r="AF10" s="3">
        <v>1.7430000000000001</v>
      </c>
      <c r="AG10" s="3">
        <v>1.7290000000000001</v>
      </c>
      <c r="AH10" s="3">
        <v>1.8029999999999999</v>
      </c>
      <c r="AI10" s="3">
        <v>1.7949999999999999</v>
      </c>
      <c r="AJ10" s="3">
        <v>1.9</v>
      </c>
      <c r="AK10" s="3">
        <v>1.819</v>
      </c>
      <c r="AL10" s="3">
        <v>1.8049999999999999</v>
      </c>
      <c r="AM10" s="3">
        <v>1.7949999999999999</v>
      </c>
      <c r="AN10" s="3">
        <v>1.833</v>
      </c>
      <c r="AO10" s="3">
        <v>1.8360000000000001</v>
      </c>
      <c r="AP10" s="3">
        <v>1.7949999999999999</v>
      </c>
      <c r="AQ10" s="3">
        <v>1.7290000000000001</v>
      </c>
      <c r="AR10" s="3">
        <v>1.8720000000000001</v>
      </c>
      <c r="AS10" s="3">
        <v>1.9630000000000001</v>
      </c>
      <c r="AT10" s="3">
        <f>MIN(M10:AS10)</f>
        <v>1.641</v>
      </c>
      <c r="AU10" s="3">
        <f>MAX(M10:AS10)</f>
        <v>1.9630000000000001</v>
      </c>
      <c r="AV10" s="3">
        <f>AVERAGE(M10:AS10)</f>
        <v>1.805060606060606</v>
      </c>
    </row>
    <row r="11" spans="1:48" x14ac:dyDescent="0.15">
      <c r="A11" s="6" t="s">
        <v>39</v>
      </c>
      <c r="B11" s="3">
        <f t="shared" ref="B11:G11" si="6">B9-B10</f>
        <v>134</v>
      </c>
      <c r="C11" s="3">
        <f t="shared" si="6"/>
        <v>140</v>
      </c>
      <c r="D11" s="3">
        <f t="shared" si="6"/>
        <v>132</v>
      </c>
      <c r="E11" s="3">
        <f t="shared" si="6"/>
        <v>101</v>
      </c>
      <c r="F11" s="3">
        <f t="shared" si="6"/>
        <v>118</v>
      </c>
      <c r="G11" s="3">
        <f t="shared" si="6"/>
        <v>125</v>
      </c>
      <c r="H11" s="3">
        <f>MIN(B11:G11)</f>
        <v>101</v>
      </c>
      <c r="I11" s="3">
        <f>MAX(B11:G11)</f>
        <v>140</v>
      </c>
      <c r="J11" s="3">
        <f>AVERAGE(B11:G11)</f>
        <v>125</v>
      </c>
      <c r="M11" s="3">
        <f t="shared" ref="M11:AS11" si="7">M9-M10</f>
        <v>1.4169999999999998</v>
      </c>
      <c r="N11" s="3">
        <f t="shared" si="7"/>
        <v>1.4249999999999998</v>
      </c>
      <c r="O11" s="3">
        <f t="shared" si="7"/>
        <v>1.45</v>
      </c>
      <c r="P11" s="3">
        <f t="shared" si="7"/>
        <v>1.4409999999999998</v>
      </c>
      <c r="Q11" s="3">
        <f t="shared" si="7"/>
        <v>1.5209999999999999</v>
      </c>
      <c r="R11" s="3">
        <f t="shared" si="7"/>
        <v>1.3590000000000002</v>
      </c>
      <c r="S11" s="3">
        <f t="shared" si="7"/>
        <v>1.444</v>
      </c>
      <c r="T11" s="3">
        <f t="shared" si="7"/>
        <v>1.5750000000000002</v>
      </c>
      <c r="U11" s="3">
        <f t="shared" si="7"/>
        <v>1.5669999999999999</v>
      </c>
      <c r="V11" s="3">
        <f t="shared" si="7"/>
        <v>1.3690000000000002</v>
      </c>
      <c r="W11" s="3">
        <f t="shared" si="7"/>
        <v>1.393</v>
      </c>
      <c r="X11" s="3">
        <f t="shared" si="7"/>
        <v>1.4010000000000002</v>
      </c>
      <c r="Y11" s="3">
        <f t="shared" si="7"/>
        <v>1.6439999999999999</v>
      </c>
      <c r="Z11" s="3">
        <f t="shared" si="7"/>
        <v>1.462</v>
      </c>
      <c r="AA11" s="3">
        <f t="shared" si="7"/>
        <v>1.609</v>
      </c>
      <c r="AB11" s="3">
        <f t="shared" si="7"/>
        <v>1.2559999999999998</v>
      </c>
      <c r="AC11" s="3">
        <f t="shared" si="7"/>
        <v>1.43</v>
      </c>
      <c r="AD11" s="3">
        <f t="shared" si="7"/>
        <v>1.5830000000000002</v>
      </c>
      <c r="AE11" s="3">
        <f t="shared" si="7"/>
        <v>1.4450000000000003</v>
      </c>
      <c r="AF11" s="3">
        <f t="shared" si="7"/>
        <v>1.3869999999999998</v>
      </c>
      <c r="AG11" s="3">
        <f t="shared" si="7"/>
        <v>1.3649999999999998</v>
      </c>
      <c r="AH11" s="3">
        <f t="shared" si="7"/>
        <v>1.4729999999999999</v>
      </c>
      <c r="AI11" s="3">
        <f t="shared" si="7"/>
        <v>1.484</v>
      </c>
      <c r="AJ11" s="3">
        <f t="shared" si="7"/>
        <v>1.6150000000000002</v>
      </c>
      <c r="AK11" s="3">
        <f t="shared" si="7"/>
        <v>1.5369999999999999</v>
      </c>
      <c r="AL11" s="3">
        <f t="shared" si="7"/>
        <v>1.5160000000000002</v>
      </c>
      <c r="AM11" s="3">
        <f t="shared" si="7"/>
        <v>1.371</v>
      </c>
      <c r="AN11" s="3">
        <f t="shared" si="7"/>
        <v>1.4890000000000001</v>
      </c>
      <c r="AO11" s="3">
        <f t="shared" si="7"/>
        <v>1.5119999999999998</v>
      </c>
      <c r="AP11" s="3">
        <f t="shared" si="7"/>
        <v>1.4830000000000001</v>
      </c>
      <c r="AQ11" s="3">
        <f t="shared" si="7"/>
        <v>1.3049999999999997</v>
      </c>
      <c r="AR11" s="3">
        <f t="shared" si="7"/>
        <v>1.5289999999999997</v>
      </c>
      <c r="AS11" s="3">
        <f t="shared" si="7"/>
        <v>1.6099999999999999</v>
      </c>
      <c r="AT11" s="3">
        <f>MIN(M11:AS11)</f>
        <v>1.2559999999999998</v>
      </c>
      <c r="AU11" s="3">
        <f>MAX(M11:AS11)</f>
        <v>1.6439999999999999</v>
      </c>
      <c r="AV11" s="3">
        <f>AVERAGE(M11:AS11)</f>
        <v>1.4686969696969694</v>
      </c>
    </row>
    <row r="12" spans="1:48" x14ac:dyDescent="0.15">
      <c r="A12" s="6" t="s">
        <v>40</v>
      </c>
      <c r="B12" s="3">
        <f t="shared" ref="B12:G12" si="8">B11/B9*100</f>
        <v>40</v>
      </c>
      <c r="C12" s="3">
        <f t="shared" si="8"/>
        <v>41.543026706231458</v>
      </c>
      <c r="D12" s="3">
        <f t="shared" si="8"/>
        <v>38.040345821325651</v>
      </c>
      <c r="E12" s="3">
        <f t="shared" si="8"/>
        <v>30.606060606060602</v>
      </c>
      <c r="F12" s="3">
        <f t="shared" si="8"/>
        <v>36.875</v>
      </c>
      <c r="G12" s="3">
        <f t="shared" si="8"/>
        <v>38.226299694189606</v>
      </c>
      <c r="H12" s="3">
        <f>MIN(B12:G12)</f>
        <v>30.606060606060602</v>
      </c>
      <c r="I12" s="3">
        <f>MAX(B12:G12)</f>
        <v>41.543026706231458</v>
      </c>
      <c r="J12" s="7">
        <f>AVERAGE(B12:G12)</f>
        <v>37.548455471301217</v>
      </c>
      <c r="M12" s="3">
        <f t="shared" ref="M12:AS12" si="9">M11/M9*100</f>
        <v>44.350547730829412</v>
      </c>
      <c r="N12" s="3">
        <f t="shared" si="9"/>
        <v>44.600938967136145</v>
      </c>
      <c r="O12" s="3">
        <f t="shared" si="9"/>
        <v>44.891640866873061</v>
      </c>
      <c r="P12" s="3">
        <f t="shared" si="9"/>
        <v>44.54404945904173</v>
      </c>
      <c r="Q12" s="3">
        <f t="shared" si="9"/>
        <v>44.946808510638299</v>
      </c>
      <c r="R12" s="3">
        <f t="shared" si="9"/>
        <v>44.08044112877068</v>
      </c>
      <c r="S12" s="3">
        <f t="shared" si="9"/>
        <v>44.105070250458155</v>
      </c>
      <c r="T12" s="3">
        <f t="shared" si="9"/>
        <v>45.652173913043484</v>
      </c>
      <c r="U12" s="3">
        <f t="shared" si="9"/>
        <v>45.565571387031113</v>
      </c>
      <c r="V12" s="3">
        <f t="shared" si="9"/>
        <v>44.347262714609656</v>
      </c>
      <c r="W12" s="3">
        <f t="shared" si="9"/>
        <v>44.576000000000001</v>
      </c>
      <c r="X12" s="3">
        <f t="shared" si="9"/>
        <v>44.223484848484858</v>
      </c>
      <c r="Y12" s="3">
        <f t="shared" si="9"/>
        <v>46.427562835357243</v>
      </c>
      <c r="Z12" s="3">
        <f t="shared" si="9"/>
        <v>45.026178010471206</v>
      </c>
      <c r="AA12" s="3">
        <f t="shared" si="9"/>
        <v>46.302158273381295</v>
      </c>
      <c r="AB12" s="3">
        <f t="shared" si="9"/>
        <v>43.355195029340692</v>
      </c>
      <c r="AC12" s="3">
        <f t="shared" si="9"/>
        <v>44.27244582043344</v>
      </c>
      <c r="AD12" s="3">
        <f t="shared" si="9"/>
        <v>45.830920671685007</v>
      </c>
      <c r="AE12" s="3">
        <f t="shared" si="9"/>
        <v>44.709158415841586</v>
      </c>
      <c r="AF12" s="3">
        <f t="shared" si="9"/>
        <v>44.31309904153354</v>
      </c>
      <c r="AG12" s="3">
        <f t="shared" si="9"/>
        <v>44.117647058823522</v>
      </c>
      <c r="AH12" s="3">
        <f t="shared" si="9"/>
        <v>44.963369963369964</v>
      </c>
      <c r="AI12" s="3">
        <f t="shared" si="9"/>
        <v>45.257700518450747</v>
      </c>
      <c r="AJ12" s="3">
        <f t="shared" si="9"/>
        <v>45.945945945945951</v>
      </c>
      <c r="AK12" s="3">
        <f t="shared" si="9"/>
        <v>45.798569725864127</v>
      </c>
      <c r="AL12" s="3">
        <f t="shared" si="9"/>
        <v>45.648900933453781</v>
      </c>
      <c r="AM12" s="3">
        <f t="shared" si="9"/>
        <v>43.303853442830068</v>
      </c>
      <c r="AN12" s="3">
        <f t="shared" si="9"/>
        <v>44.822396146899464</v>
      </c>
      <c r="AO12" s="3">
        <f t="shared" si="9"/>
        <v>45.161290322580641</v>
      </c>
      <c r="AP12" s="3">
        <f t="shared" si="9"/>
        <v>45.241000610128133</v>
      </c>
      <c r="AQ12" s="3">
        <f t="shared" si="9"/>
        <v>43.012524719841785</v>
      </c>
      <c r="AR12" s="3">
        <f t="shared" si="9"/>
        <v>44.957365480740954</v>
      </c>
      <c r="AS12" s="3">
        <f t="shared" si="9"/>
        <v>45.060173523649595</v>
      </c>
      <c r="AT12" s="3">
        <f>MIN(M12:AS12)</f>
        <v>43.012524719841785</v>
      </c>
      <c r="AU12" s="3">
        <f>MAX(M12:AS12)</f>
        <v>46.427562835357243</v>
      </c>
      <c r="AV12" s="7">
        <f>AVERAGE(M12:AS12)</f>
        <v>44.830649886895145</v>
      </c>
    </row>
    <row r="13" spans="1:48" x14ac:dyDescent="0.15">
      <c r="A13" s="6" t="s">
        <v>41</v>
      </c>
      <c r="B13" s="3">
        <f t="shared" ref="B13:G13" si="10">B11/B10*100</f>
        <v>66.666666666666657</v>
      </c>
      <c r="C13" s="3">
        <f t="shared" si="10"/>
        <v>71.065989847715741</v>
      </c>
      <c r="D13" s="3">
        <f t="shared" si="10"/>
        <v>61.395348837209305</v>
      </c>
      <c r="E13" s="3">
        <f t="shared" si="10"/>
        <v>44.104803493449779</v>
      </c>
      <c r="F13" s="3">
        <f t="shared" si="10"/>
        <v>58.415841584158414</v>
      </c>
      <c r="G13" s="3">
        <f t="shared" si="10"/>
        <v>61.881188118811878</v>
      </c>
      <c r="H13" s="3">
        <f>MIN(B13:G13)</f>
        <v>44.104803493449779</v>
      </c>
      <c r="I13" s="3">
        <f>MAX(B13:G13)</f>
        <v>71.065989847715741</v>
      </c>
      <c r="J13" s="7">
        <f>AVERAGE(B13:G13)</f>
        <v>60.588306424668623</v>
      </c>
      <c r="M13" s="3">
        <f t="shared" ref="M13:AS13" si="11">M11/M10*100</f>
        <v>79.696287964004483</v>
      </c>
      <c r="N13" s="3">
        <f t="shared" si="11"/>
        <v>80.508474576271169</v>
      </c>
      <c r="O13" s="3">
        <f t="shared" si="11"/>
        <v>81.460674157303373</v>
      </c>
      <c r="P13" s="3">
        <f t="shared" si="11"/>
        <v>80.323299888517269</v>
      </c>
      <c r="Q13" s="3">
        <f t="shared" si="11"/>
        <v>81.642512077294683</v>
      </c>
      <c r="R13" s="3">
        <f t="shared" si="11"/>
        <v>78.828306264501165</v>
      </c>
      <c r="S13" s="3">
        <f t="shared" si="11"/>
        <v>78.907103825136602</v>
      </c>
      <c r="T13" s="3">
        <f t="shared" si="11"/>
        <v>84.000000000000014</v>
      </c>
      <c r="U13" s="3">
        <f t="shared" si="11"/>
        <v>83.707264957264954</v>
      </c>
      <c r="V13" s="3">
        <f t="shared" si="11"/>
        <v>79.685681024447035</v>
      </c>
      <c r="W13" s="3">
        <f t="shared" si="11"/>
        <v>80.427251732101624</v>
      </c>
      <c r="X13" s="3">
        <f t="shared" si="11"/>
        <v>79.286926994906636</v>
      </c>
      <c r="Y13" s="3">
        <f t="shared" si="11"/>
        <v>86.663152345809166</v>
      </c>
      <c r="Z13" s="3">
        <f t="shared" si="11"/>
        <v>81.904761904761898</v>
      </c>
      <c r="AA13" s="3">
        <f t="shared" si="11"/>
        <v>86.227224008574481</v>
      </c>
      <c r="AB13" s="3">
        <f t="shared" si="11"/>
        <v>76.53869591712369</v>
      </c>
      <c r="AC13" s="3">
        <f t="shared" si="11"/>
        <v>79.444444444444443</v>
      </c>
      <c r="AD13" s="3">
        <f t="shared" si="11"/>
        <v>84.60716194548371</v>
      </c>
      <c r="AE13" s="3">
        <f t="shared" si="11"/>
        <v>80.86177951874653</v>
      </c>
      <c r="AF13" s="3">
        <f t="shared" si="11"/>
        <v>79.575444635685571</v>
      </c>
      <c r="AG13" s="3">
        <f t="shared" si="11"/>
        <v>78.947368421052616</v>
      </c>
      <c r="AH13" s="3">
        <f t="shared" si="11"/>
        <v>81.697171381031609</v>
      </c>
      <c r="AI13" s="3">
        <f t="shared" si="11"/>
        <v>82.674094707520894</v>
      </c>
      <c r="AJ13" s="3">
        <f t="shared" si="11"/>
        <v>85.000000000000014</v>
      </c>
      <c r="AK13" s="3">
        <f t="shared" si="11"/>
        <v>84.496976360637717</v>
      </c>
      <c r="AL13" s="3">
        <f t="shared" si="11"/>
        <v>83.988919667590039</v>
      </c>
      <c r="AM13" s="3">
        <f t="shared" si="11"/>
        <v>76.378830083565461</v>
      </c>
      <c r="AN13" s="3">
        <f t="shared" si="11"/>
        <v>81.232951445717404</v>
      </c>
      <c r="AO13" s="3">
        <f t="shared" si="11"/>
        <v>82.35294117647058</v>
      </c>
      <c r="AP13" s="3">
        <f t="shared" si="11"/>
        <v>82.618384401114213</v>
      </c>
      <c r="AQ13" s="3">
        <f t="shared" si="11"/>
        <v>75.477154424522837</v>
      </c>
      <c r="AR13" s="3">
        <f t="shared" si="11"/>
        <v>81.677350427350405</v>
      </c>
      <c r="AS13" s="3">
        <f t="shared" si="11"/>
        <v>82.017320427916445</v>
      </c>
      <c r="AT13" s="3">
        <f>MIN(M13:AS13)</f>
        <v>75.477154424522837</v>
      </c>
      <c r="AU13" s="3">
        <f>MAX(M13:AS13)</f>
        <v>86.663152345809166</v>
      </c>
      <c r="AV13" s="7">
        <f>AVERAGE(M13:AS13)</f>
        <v>81.298663972935415</v>
      </c>
    </row>
    <row r="14" spans="1:48" x14ac:dyDescent="0.15">
      <c r="B14" s="3"/>
      <c r="C14" s="3"/>
      <c r="D14" s="3"/>
      <c r="E14" s="3"/>
      <c r="F14" s="3"/>
      <c r="G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</row>
    <row r="15" spans="1:48" x14ac:dyDescent="0.15">
      <c r="A15" s="1" t="s">
        <v>19</v>
      </c>
      <c r="B15" s="3">
        <v>451</v>
      </c>
      <c r="C15" s="3">
        <v>453</v>
      </c>
      <c r="D15" s="3">
        <v>467</v>
      </c>
      <c r="E15" s="3">
        <v>435</v>
      </c>
      <c r="F15" s="3">
        <v>406</v>
      </c>
      <c r="G15" s="3">
        <v>453</v>
      </c>
      <c r="H15" s="3">
        <f>MIN(B15:G15)</f>
        <v>406</v>
      </c>
      <c r="I15" s="3">
        <f>MAX(B15:G15)</f>
        <v>467</v>
      </c>
      <c r="J15" s="3">
        <f>AVERAGE(B15:G15)</f>
        <v>444.16666666666669</v>
      </c>
      <c r="M15" s="3">
        <v>25.1</v>
      </c>
      <c r="N15" s="3">
        <v>23</v>
      </c>
      <c r="O15" s="3">
        <v>24.4</v>
      </c>
      <c r="P15" s="3">
        <v>25.2</v>
      </c>
      <c r="Q15" s="3">
        <v>25.7</v>
      </c>
      <c r="R15" s="3">
        <v>23.5</v>
      </c>
      <c r="S15" s="3">
        <v>25.8</v>
      </c>
      <c r="T15" s="3">
        <v>26.6</v>
      </c>
      <c r="U15" s="3">
        <v>26.5</v>
      </c>
      <c r="V15" s="3">
        <v>24.8</v>
      </c>
      <c r="W15" s="3">
        <v>24.9</v>
      </c>
      <c r="X15" s="3">
        <v>24</v>
      </c>
      <c r="Y15" s="3">
        <v>27</v>
      </c>
      <c r="Z15" s="3">
        <v>24.9</v>
      </c>
      <c r="AA15" s="3">
        <v>27.8</v>
      </c>
      <c r="AB15" s="3">
        <v>23.2</v>
      </c>
      <c r="AC15" s="3">
        <v>24.8</v>
      </c>
      <c r="AD15" s="3">
        <v>26.7</v>
      </c>
      <c r="AE15" s="3">
        <v>25.1</v>
      </c>
      <c r="AF15" s="3">
        <v>24.9</v>
      </c>
      <c r="AG15" s="3">
        <v>23.6</v>
      </c>
      <c r="AH15" s="3">
        <v>24.7</v>
      </c>
      <c r="AI15" s="3">
        <v>24.9</v>
      </c>
      <c r="AJ15" s="3">
        <v>26.9</v>
      </c>
      <c r="AK15" s="3">
        <v>25.7</v>
      </c>
      <c r="AL15" s="3">
        <v>25.3</v>
      </c>
      <c r="AM15" s="3">
        <v>24.9</v>
      </c>
      <c r="AN15" s="3">
        <v>25.5</v>
      </c>
      <c r="AO15" s="3">
        <v>25.3</v>
      </c>
      <c r="AP15" s="3">
        <v>25.7</v>
      </c>
      <c r="AQ15" s="3">
        <v>23.5</v>
      </c>
      <c r="AR15" s="3">
        <v>25.5</v>
      </c>
      <c r="AS15" s="3">
        <v>28.1</v>
      </c>
      <c r="AT15" s="3">
        <f>MIN(M15:AS15)</f>
        <v>23</v>
      </c>
      <c r="AU15" s="3">
        <f>MAX(M15:AS15)</f>
        <v>28.1</v>
      </c>
      <c r="AV15" s="3">
        <f>AVERAGE(M15:AS15)</f>
        <v>25.257575757575758</v>
      </c>
    </row>
    <row r="16" spans="1:48" x14ac:dyDescent="0.15">
      <c r="A16" s="1" t="s">
        <v>19</v>
      </c>
      <c r="B16" s="3">
        <v>439</v>
      </c>
      <c r="C16" s="3">
        <v>425</v>
      </c>
      <c r="D16" s="3">
        <v>444</v>
      </c>
      <c r="E16" s="3">
        <v>470</v>
      </c>
      <c r="F16" s="3">
        <v>438</v>
      </c>
      <c r="G16" s="3">
        <v>439</v>
      </c>
      <c r="H16" s="3">
        <f>MIN(B16:G16)</f>
        <v>425</v>
      </c>
      <c r="I16" s="3">
        <f>MAX(B16:G16)</f>
        <v>470</v>
      </c>
      <c r="J16" s="3">
        <f>AVERAGE(B16:G16)</f>
        <v>442.5</v>
      </c>
      <c r="M16" s="3">
        <v>12.9</v>
      </c>
      <c r="N16" s="3">
        <v>12.7</v>
      </c>
      <c r="O16" s="3">
        <v>12.9</v>
      </c>
      <c r="P16" s="3">
        <v>13.3</v>
      </c>
      <c r="Q16" s="3">
        <v>13.4</v>
      </c>
      <c r="R16" s="3">
        <v>12.5</v>
      </c>
      <c r="S16" s="3">
        <v>13.3</v>
      </c>
      <c r="T16" s="3">
        <v>13.8</v>
      </c>
      <c r="U16" s="3">
        <v>13.3</v>
      </c>
      <c r="V16" s="3">
        <v>12.7</v>
      </c>
      <c r="W16" s="3">
        <v>12.9</v>
      </c>
      <c r="X16" s="3">
        <v>12.8</v>
      </c>
      <c r="Y16" s="3">
        <v>13.5</v>
      </c>
      <c r="Z16" s="3">
        <v>12.8</v>
      </c>
      <c r="AA16" s="3">
        <v>13.5</v>
      </c>
      <c r="AB16" s="3">
        <v>11</v>
      </c>
      <c r="AC16" s="3">
        <v>12.8</v>
      </c>
      <c r="AD16" s="3">
        <v>13.4</v>
      </c>
      <c r="AE16" s="3">
        <v>12</v>
      </c>
      <c r="AF16" s="3">
        <v>12.7</v>
      </c>
      <c r="AG16" s="3">
        <v>12.5</v>
      </c>
      <c r="AH16" s="3">
        <v>12</v>
      </c>
      <c r="AI16" s="3">
        <v>13.2</v>
      </c>
      <c r="AJ16" s="3">
        <v>13.5</v>
      </c>
      <c r="AK16" s="3">
        <v>12</v>
      </c>
      <c r="AL16" s="3">
        <v>12.9</v>
      </c>
      <c r="AM16" s="3">
        <v>13.2</v>
      </c>
      <c r="AN16" s="3">
        <v>13.4</v>
      </c>
      <c r="AO16" s="3">
        <v>13.1</v>
      </c>
      <c r="AP16" s="3">
        <v>12</v>
      </c>
      <c r="AQ16" s="3">
        <v>12.8</v>
      </c>
      <c r="AR16" s="3">
        <v>13.2</v>
      </c>
      <c r="AS16" s="3">
        <v>14</v>
      </c>
      <c r="AT16" s="3">
        <f>MIN(M16:AS16)</f>
        <v>11</v>
      </c>
      <c r="AU16" s="3">
        <f>MAX(M16:AS16)</f>
        <v>14</v>
      </c>
      <c r="AV16" s="3">
        <f>AVERAGE(M16:AS16)</f>
        <v>12.909090909090908</v>
      </c>
    </row>
    <row r="17" spans="1:48" x14ac:dyDescent="0.15">
      <c r="A17" s="6" t="s">
        <v>39</v>
      </c>
      <c r="B17" s="3">
        <f t="shared" ref="B17:G17" si="12">B15-B16</f>
        <v>12</v>
      </c>
      <c r="C17" s="3">
        <f t="shared" si="12"/>
        <v>28</v>
      </c>
      <c r="D17" s="3">
        <f t="shared" si="12"/>
        <v>23</v>
      </c>
      <c r="E17" s="3">
        <f t="shared" si="12"/>
        <v>-35</v>
      </c>
      <c r="F17" s="3">
        <f t="shared" si="12"/>
        <v>-32</v>
      </c>
      <c r="G17" s="3">
        <f t="shared" si="12"/>
        <v>14</v>
      </c>
      <c r="H17" s="3">
        <f>MIN(B17:G17)</f>
        <v>-35</v>
      </c>
      <c r="I17" s="3">
        <f>MAX(B17:G17)</f>
        <v>28</v>
      </c>
      <c r="J17" s="3">
        <f>AVERAGE(B17:G17)</f>
        <v>1.6666666666666667</v>
      </c>
      <c r="M17" s="3">
        <f t="shared" ref="M17:AS17" si="13">M15-M16</f>
        <v>12.200000000000001</v>
      </c>
      <c r="N17" s="3">
        <f t="shared" si="13"/>
        <v>10.3</v>
      </c>
      <c r="O17" s="3">
        <f t="shared" si="13"/>
        <v>11.499999999999998</v>
      </c>
      <c r="P17" s="3">
        <f t="shared" si="13"/>
        <v>11.899999999999999</v>
      </c>
      <c r="Q17" s="3">
        <f t="shared" si="13"/>
        <v>12.299999999999999</v>
      </c>
      <c r="R17" s="3">
        <f t="shared" si="13"/>
        <v>11</v>
      </c>
      <c r="S17" s="3">
        <f t="shared" si="13"/>
        <v>12.5</v>
      </c>
      <c r="T17" s="3">
        <f t="shared" si="13"/>
        <v>12.8</v>
      </c>
      <c r="U17" s="3">
        <f t="shared" si="13"/>
        <v>13.2</v>
      </c>
      <c r="V17" s="3">
        <f t="shared" si="13"/>
        <v>12.100000000000001</v>
      </c>
      <c r="W17" s="3">
        <f t="shared" si="13"/>
        <v>11.999999999999998</v>
      </c>
      <c r="X17" s="3">
        <f t="shared" si="13"/>
        <v>11.2</v>
      </c>
      <c r="Y17" s="3">
        <f t="shared" si="13"/>
        <v>13.5</v>
      </c>
      <c r="Z17" s="3">
        <f t="shared" si="13"/>
        <v>12.099999999999998</v>
      </c>
      <c r="AA17" s="3">
        <f t="shared" si="13"/>
        <v>14.3</v>
      </c>
      <c r="AB17" s="3">
        <f t="shared" si="13"/>
        <v>12.2</v>
      </c>
      <c r="AC17" s="3">
        <f t="shared" si="13"/>
        <v>12</v>
      </c>
      <c r="AD17" s="3">
        <f t="shared" si="13"/>
        <v>13.299999999999999</v>
      </c>
      <c r="AE17" s="3">
        <f t="shared" si="13"/>
        <v>13.100000000000001</v>
      </c>
      <c r="AF17" s="3">
        <f t="shared" si="13"/>
        <v>12.2</v>
      </c>
      <c r="AG17" s="3">
        <f t="shared" si="13"/>
        <v>11.100000000000001</v>
      </c>
      <c r="AH17" s="3">
        <f t="shared" si="13"/>
        <v>12.7</v>
      </c>
      <c r="AI17" s="3">
        <f t="shared" si="13"/>
        <v>11.7</v>
      </c>
      <c r="AJ17" s="3">
        <f t="shared" si="13"/>
        <v>13.399999999999999</v>
      </c>
      <c r="AK17" s="3">
        <f t="shared" si="13"/>
        <v>13.7</v>
      </c>
      <c r="AL17" s="3">
        <f t="shared" si="13"/>
        <v>12.4</v>
      </c>
      <c r="AM17" s="3">
        <f t="shared" si="13"/>
        <v>11.7</v>
      </c>
      <c r="AN17" s="3">
        <f t="shared" si="13"/>
        <v>12.1</v>
      </c>
      <c r="AO17" s="3">
        <f t="shared" si="13"/>
        <v>12.200000000000001</v>
      </c>
      <c r="AP17" s="3">
        <f t="shared" si="13"/>
        <v>13.7</v>
      </c>
      <c r="AQ17" s="3">
        <f t="shared" si="13"/>
        <v>10.7</v>
      </c>
      <c r="AR17" s="3">
        <f t="shared" si="13"/>
        <v>12.3</v>
      </c>
      <c r="AS17" s="3">
        <f t="shared" si="13"/>
        <v>14.100000000000001</v>
      </c>
      <c r="AT17" s="3">
        <f>MIN(M17:AS17)</f>
        <v>10.3</v>
      </c>
      <c r="AU17" s="3">
        <f>MAX(M17:AS17)</f>
        <v>14.3</v>
      </c>
      <c r="AV17" s="3">
        <f>AVERAGE(M17:AS17)</f>
        <v>12.348484848484844</v>
      </c>
    </row>
    <row r="18" spans="1:48" x14ac:dyDescent="0.15">
      <c r="A18" s="6" t="s">
        <v>40</v>
      </c>
      <c r="B18" s="3">
        <f t="shared" ref="B18:G18" si="14">B17/B15*100</f>
        <v>2.6607538802660753</v>
      </c>
      <c r="C18" s="3">
        <f t="shared" si="14"/>
        <v>6.1810154525386318</v>
      </c>
      <c r="D18" s="3">
        <f t="shared" si="14"/>
        <v>4.925053533190578</v>
      </c>
      <c r="E18" s="3">
        <f t="shared" si="14"/>
        <v>-8.0459770114942533</v>
      </c>
      <c r="F18" s="3">
        <f t="shared" si="14"/>
        <v>-7.8817733990147785</v>
      </c>
      <c r="G18" s="3">
        <f t="shared" si="14"/>
        <v>3.0905077262693159</v>
      </c>
      <c r="H18" s="3">
        <f>MIN(B18:G18)</f>
        <v>-8.0459770114942533</v>
      </c>
      <c r="I18" s="3">
        <f>MAX(B18:G18)</f>
        <v>6.1810154525386318</v>
      </c>
      <c r="J18" s="7">
        <f>AVERAGE(B18:G18)</f>
        <v>0.15493003029259497</v>
      </c>
      <c r="M18" s="3">
        <f t="shared" ref="M18:AS18" si="15">M17/M15*100</f>
        <v>48.605577689243027</v>
      </c>
      <c r="N18" s="3">
        <f t="shared" si="15"/>
        <v>44.782608695652179</v>
      </c>
      <c r="O18" s="3">
        <f t="shared" si="15"/>
        <v>47.131147540983605</v>
      </c>
      <c r="P18" s="3">
        <f t="shared" si="15"/>
        <v>47.222222222222214</v>
      </c>
      <c r="Q18" s="3">
        <f t="shared" si="15"/>
        <v>47.85992217898832</v>
      </c>
      <c r="R18" s="3">
        <f t="shared" si="15"/>
        <v>46.808510638297875</v>
      </c>
      <c r="S18" s="3">
        <f t="shared" si="15"/>
        <v>48.449612403100772</v>
      </c>
      <c r="T18" s="3">
        <f t="shared" si="15"/>
        <v>48.120300751879697</v>
      </c>
      <c r="U18" s="3">
        <f t="shared" si="15"/>
        <v>49.811320754716981</v>
      </c>
      <c r="V18" s="3">
        <f t="shared" si="15"/>
        <v>48.790322580645167</v>
      </c>
      <c r="W18" s="3">
        <f t="shared" si="15"/>
        <v>48.192771084337345</v>
      </c>
      <c r="X18" s="3">
        <f t="shared" si="15"/>
        <v>46.666666666666664</v>
      </c>
      <c r="Y18" s="3">
        <f t="shared" si="15"/>
        <v>50</v>
      </c>
      <c r="Z18" s="3">
        <f t="shared" si="15"/>
        <v>48.594377510040154</v>
      </c>
      <c r="AA18" s="3">
        <f t="shared" si="15"/>
        <v>51.438848920863315</v>
      </c>
      <c r="AB18" s="3">
        <f t="shared" si="15"/>
        <v>52.586206896551722</v>
      </c>
      <c r="AC18" s="3">
        <f t="shared" si="15"/>
        <v>48.387096774193544</v>
      </c>
      <c r="AD18" s="3">
        <f t="shared" si="15"/>
        <v>49.812734082397</v>
      </c>
      <c r="AE18" s="3">
        <f t="shared" si="15"/>
        <v>52.191235059760956</v>
      </c>
      <c r="AF18" s="3">
        <f t="shared" si="15"/>
        <v>48.99598393574297</v>
      </c>
      <c r="AG18" s="3">
        <f t="shared" si="15"/>
        <v>47.033898305084747</v>
      </c>
      <c r="AH18" s="3">
        <f t="shared" si="15"/>
        <v>51.417004048582996</v>
      </c>
      <c r="AI18" s="3">
        <f t="shared" si="15"/>
        <v>46.987951807228917</v>
      </c>
      <c r="AJ18" s="3">
        <f t="shared" si="15"/>
        <v>49.814126394052046</v>
      </c>
      <c r="AK18" s="3">
        <f t="shared" si="15"/>
        <v>53.307392996108952</v>
      </c>
      <c r="AL18" s="3">
        <f t="shared" si="15"/>
        <v>49.011857707509883</v>
      </c>
      <c r="AM18" s="3">
        <f t="shared" si="15"/>
        <v>46.987951807228917</v>
      </c>
      <c r="AN18" s="3">
        <f t="shared" si="15"/>
        <v>47.450980392156858</v>
      </c>
      <c r="AO18" s="3">
        <f t="shared" si="15"/>
        <v>48.221343873517789</v>
      </c>
      <c r="AP18" s="3">
        <f t="shared" si="15"/>
        <v>53.307392996108952</v>
      </c>
      <c r="AQ18" s="3">
        <f t="shared" si="15"/>
        <v>45.531914893617021</v>
      </c>
      <c r="AR18" s="3">
        <f t="shared" si="15"/>
        <v>48.235294117647058</v>
      </c>
      <c r="AS18" s="3">
        <f t="shared" si="15"/>
        <v>50.177935943060504</v>
      </c>
      <c r="AT18" s="3">
        <f>MIN(M18:AS18)</f>
        <v>44.782608695652179</v>
      </c>
      <c r="AU18" s="3">
        <f>MAX(M18:AS18)</f>
        <v>53.307392996108952</v>
      </c>
      <c r="AV18" s="7">
        <f>AVERAGE(M18:AS18)</f>
        <v>48.846439747520861</v>
      </c>
    </row>
    <row r="19" spans="1:48" x14ac:dyDescent="0.15">
      <c r="A19" s="6" t="s">
        <v>41</v>
      </c>
      <c r="B19" s="3">
        <f t="shared" ref="B19:G19" si="16">B17/B16*100</f>
        <v>2.7334851936218678</v>
      </c>
      <c r="C19" s="3">
        <f t="shared" si="16"/>
        <v>6.5882352941176476</v>
      </c>
      <c r="D19" s="3">
        <f t="shared" si="16"/>
        <v>5.1801801801801801</v>
      </c>
      <c r="E19" s="3">
        <f t="shared" si="16"/>
        <v>-7.4468085106382977</v>
      </c>
      <c r="F19" s="3">
        <f t="shared" si="16"/>
        <v>-7.3059360730593603</v>
      </c>
      <c r="G19" s="3">
        <f t="shared" si="16"/>
        <v>3.1890660592255129</v>
      </c>
      <c r="H19" s="3">
        <f>MIN(B19:G19)</f>
        <v>-7.4468085106382977</v>
      </c>
      <c r="I19" s="3">
        <f>MAX(B19:G19)</f>
        <v>6.5882352941176476</v>
      </c>
      <c r="J19" s="7">
        <f>AVERAGE(B19:G19)</f>
        <v>0.48970369057459173</v>
      </c>
      <c r="M19" s="3">
        <f t="shared" ref="M19:AS19" si="17">M17/M16*100</f>
        <v>94.573643410852711</v>
      </c>
      <c r="N19" s="3">
        <f t="shared" si="17"/>
        <v>81.102362204724415</v>
      </c>
      <c r="O19" s="3">
        <f t="shared" si="17"/>
        <v>89.147286821705407</v>
      </c>
      <c r="P19" s="3">
        <f t="shared" si="17"/>
        <v>89.473684210526301</v>
      </c>
      <c r="Q19" s="3">
        <f t="shared" si="17"/>
        <v>91.791044776119392</v>
      </c>
      <c r="R19" s="3">
        <f t="shared" si="17"/>
        <v>88</v>
      </c>
      <c r="S19" s="3">
        <f t="shared" si="17"/>
        <v>93.984962406015043</v>
      </c>
      <c r="T19" s="3">
        <f t="shared" si="17"/>
        <v>92.753623188405797</v>
      </c>
      <c r="U19" s="3">
        <f t="shared" si="17"/>
        <v>99.248120300751879</v>
      </c>
      <c r="V19" s="3">
        <f t="shared" si="17"/>
        <v>95.275590551181125</v>
      </c>
      <c r="W19" s="3">
        <f t="shared" si="17"/>
        <v>93.023255813953483</v>
      </c>
      <c r="X19" s="3">
        <f t="shared" si="17"/>
        <v>87.499999999999986</v>
      </c>
      <c r="Y19" s="3">
        <f t="shared" si="17"/>
        <v>100</v>
      </c>
      <c r="Z19" s="3">
        <f t="shared" si="17"/>
        <v>94.531249999999972</v>
      </c>
      <c r="AA19" s="3">
        <f t="shared" si="17"/>
        <v>105.92592592592594</v>
      </c>
      <c r="AB19" s="3">
        <f t="shared" si="17"/>
        <v>110.90909090909091</v>
      </c>
      <c r="AC19" s="3">
        <f t="shared" si="17"/>
        <v>93.75</v>
      </c>
      <c r="AD19" s="3">
        <f t="shared" si="17"/>
        <v>99.253731343283562</v>
      </c>
      <c r="AE19" s="3">
        <f t="shared" si="17"/>
        <v>109.16666666666669</v>
      </c>
      <c r="AF19" s="3">
        <f t="shared" si="17"/>
        <v>96.062992125984252</v>
      </c>
      <c r="AG19" s="3">
        <f t="shared" si="17"/>
        <v>88.800000000000011</v>
      </c>
      <c r="AH19" s="3">
        <f t="shared" si="17"/>
        <v>105.83333333333333</v>
      </c>
      <c r="AI19" s="3">
        <f t="shared" si="17"/>
        <v>88.63636363636364</v>
      </c>
      <c r="AJ19" s="3">
        <f t="shared" si="17"/>
        <v>99.259259259259252</v>
      </c>
      <c r="AK19" s="3">
        <f t="shared" si="17"/>
        <v>114.16666666666666</v>
      </c>
      <c r="AL19" s="3">
        <f t="shared" si="17"/>
        <v>96.124031007751938</v>
      </c>
      <c r="AM19" s="3">
        <f t="shared" si="17"/>
        <v>88.63636363636364</v>
      </c>
      <c r="AN19" s="3">
        <f t="shared" si="17"/>
        <v>90.298507462686558</v>
      </c>
      <c r="AO19" s="3">
        <f t="shared" si="17"/>
        <v>93.129770992366417</v>
      </c>
      <c r="AP19" s="3">
        <f t="shared" si="17"/>
        <v>114.16666666666666</v>
      </c>
      <c r="AQ19" s="3">
        <f t="shared" si="17"/>
        <v>83.593749999999986</v>
      </c>
      <c r="AR19" s="3">
        <f t="shared" si="17"/>
        <v>93.181818181818187</v>
      </c>
      <c r="AS19" s="3">
        <f t="shared" si="17"/>
        <v>100.71428571428574</v>
      </c>
      <c r="AT19" s="3">
        <f>MIN(M19:AS19)</f>
        <v>81.102362204724415</v>
      </c>
      <c r="AU19" s="3">
        <f>MAX(M19:AS19)</f>
        <v>114.16666666666666</v>
      </c>
      <c r="AV19" s="7">
        <f>AVERAGE(M19:AS19)</f>
        <v>95.818607491295396</v>
      </c>
    </row>
    <row r="24" spans="1:48" x14ac:dyDescent="0.15">
      <c r="H24" s="2"/>
      <c r="I24" s="2"/>
      <c r="J24" s="2"/>
      <c r="K24" s="2"/>
      <c r="L24" s="2"/>
      <c r="AT24" s="2"/>
      <c r="AU24" s="2"/>
      <c r="AV24" s="2"/>
    </row>
    <row r="27" spans="1:48" x14ac:dyDescent="0.15">
      <c r="A27" s="1" t="s">
        <v>0</v>
      </c>
      <c r="B27" s="2" t="s">
        <v>1</v>
      </c>
      <c r="C27" s="2" t="s">
        <v>2</v>
      </c>
      <c r="D27" s="2" t="s">
        <v>1</v>
      </c>
      <c r="E27" s="2" t="s">
        <v>2</v>
      </c>
      <c r="F27" s="2" t="s">
        <v>1</v>
      </c>
      <c r="G27" s="2" t="s">
        <v>2</v>
      </c>
      <c r="M27" s="2" t="s">
        <v>3</v>
      </c>
      <c r="N27" s="2" t="s">
        <v>4</v>
      </c>
      <c r="O27" s="2" t="s">
        <v>5</v>
      </c>
      <c r="P27" s="2" t="s">
        <v>6</v>
      </c>
      <c r="Q27" s="2" t="s">
        <v>7</v>
      </c>
      <c r="R27" s="2" t="s">
        <v>8</v>
      </c>
      <c r="S27" s="2" t="s">
        <v>9</v>
      </c>
      <c r="T27" s="2" t="s">
        <v>10</v>
      </c>
      <c r="U27" s="2" t="s">
        <v>11</v>
      </c>
      <c r="V27" s="2" t="s">
        <v>12</v>
      </c>
      <c r="W27" s="2" t="s">
        <v>13</v>
      </c>
      <c r="X27" s="2" t="s">
        <v>3</v>
      </c>
      <c r="Y27" s="2" t="s">
        <v>4</v>
      </c>
      <c r="Z27" s="2" t="s">
        <v>5</v>
      </c>
      <c r="AA27" s="2" t="s">
        <v>6</v>
      </c>
      <c r="AB27" s="2" t="s">
        <v>7</v>
      </c>
      <c r="AC27" s="2" t="s">
        <v>8</v>
      </c>
      <c r="AD27" s="2" t="s">
        <v>9</v>
      </c>
      <c r="AE27" s="2" t="s">
        <v>10</v>
      </c>
      <c r="AF27" s="2" t="s">
        <v>11</v>
      </c>
      <c r="AG27" s="2" t="s">
        <v>12</v>
      </c>
      <c r="AH27" s="2" t="s">
        <v>13</v>
      </c>
      <c r="AI27" s="2" t="s">
        <v>3</v>
      </c>
      <c r="AJ27" s="2" t="s">
        <v>4</v>
      </c>
      <c r="AK27" s="2" t="s">
        <v>5</v>
      </c>
      <c r="AL27" s="2" t="s">
        <v>6</v>
      </c>
      <c r="AM27" s="2" t="s">
        <v>7</v>
      </c>
      <c r="AN27" s="2" t="s">
        <v>8</v>
      </c>
      <c r="AO27" s="2" t="s">
        <v>9</v>
      </c>
      <c r="AP27" s="2" t="s">
        <v>10</v>
      </c>
      <c r="AQ27" s="2" t="s">
        <v>11</v>
      </c>
      <c r="AR27" s="2" t="s">
        <v>12</v>
      </c>
      <c r="AS27" s="2" t="s">
        <v>13</v>
      </c>
    </row>
    <row r="28" spans="1:48" x14ac:dyDescent="0.15">
      <c r="A28" s="5" t="s">
        <v>38</v>
      </c>
    </row>
    <row r="29" spans="1:48" x14ac:dyDescent="0.15">
      <c r="A29" s="1" t="s">
        <v>23</v>
      </c>
      <c r="B29" s="3">
        <v>312</v>
      </c>
      <c r="C29" s="3">
        <v>313</v>
      </c>
      <c r="D29" s="3">
        <v>311</v>
      </c>
      <c r="E29" s="3">
        <v>303</v>
      </c>
      <c r="F29" s="3">
        <v>313</v>
      </c>
      <c r="G29" s="3">
        <v>305</v>
      </c>
      <c r="H29" s="3">
        <f>MIN(B29:G29)</f>
        <v>303</v>
      </c>
      <c r="I29" s="3">
        <f>MAX(B29:G29)</f>
        <v>313</v>
      </c>
      <c r="J29" s="3">
        <f>AVERAGE(B29:G29)</f>
        <v>309.5</v>
      </c>
      <c r="M29" s="3">
        <v>2.0579999999999998</v>
      </c>
      <c r="N29" s="3">
        <v>2.0720000000000001</v>
      </c>
      <c r="O29" s="3">
        <v>2.06</v>
      </c>
      <c r="P29" s="3">
        <v>2.0779999999999998</v>
      </c>
      <c r="Q29" s="3">
        <v>2.085</v>
      </c>
      <c r="R29" s="3">
        <v>2.0649999999999999</v>
      </c>
      <c r="S29" s="3">
        <v>2.0710000000000002</v>
      </c>
      <c r="T29" s="3">
        <v>2.0870000000000002</v>
      </c>
      <c r="U29" s="3">
        <v>2.0760000000000001</v>
      </c>
      <c r="V29" s="3">
        <v>1.9670000000000001</v>
      </c>
      <c r="W29" s="3">
        <v>1.9850000000000001</v>
      </c>
      <c r="X29" s="3">
        <v>2.0760000000000001</v>
      </c>
      <c r="Y29" s="3">
        <v>2.036</v>
      </c>
      <c r="Z29" s="3">
        <v>2.0619999999999998</v>
      </c>
      <c r="AA29" s="3">
        <v>2.0819999999999999</v>
      </c>
      <c r="AB29" s="3">
        <v>2.056</v>
      </c>
      <c r="AC29" s="3">
        <v>2.0739999999999998</v>
      </c>
      <c r="AD29" s="3">
        <v>2.0720000000000001</v>
      </c>
      <c r="AE29" s="3">
        <v>2.08</v>
      </c>
      <c r="AF29" s="3">
        <v>2.0699999999999998</v>
      </c>
      <c r="AG29" s="3">
        <v>2.073</v>
      </c>
      <c r="AH29" s="3">
        <v>2.0670000000000002</v>
      </c>
      <c r="AI29" s="3">
        <v>2.0720000000000001</v>
      </c>
      <c r="AJ29" s="3">
        <v>2.0419999999999998</v>
      </c>
      <c r="AK29" s="3">
        <v>2.0859999999999999</v>
      </c>
      <c r="AL29" s="3">
        <v>2.0720000000000001</v>
      </c>
      <c r="AM29" s="3">
        <v>2.0750000000000002</v>
      </c>
      <c r="AN29" s="3">
        <v>2.0550000000000002</v>
      </c>
      <c r="AO29" s="3">
        <v>2.0779999999999998</v>
      </c>
      <c r="AP29" s="3">
        <v>2.0590000000000002</v>
      </c>
      <c r="AQ29" s="3">
        <v>2.0699999999999998</v>
      </c>
      <c r="AR29" s="3">
        <v>2.0790000000000002</v>
      </c>
      <c r="AS29" s="3">
        <v>2.0030000000000001</v>
      </c>
      <c r="AT29" s="3">
        <f>MIN(M29:AS29)</f>
        <v>1.9670000000000001</v>
      </c>
      <c r="AU29" s="3">
        <f>MAX(M29:AS29)</f>
        <v>2.0870000000000002</v>
      </c>
      <c r="AV29" s="3">
        <f>AVERAGE(M29:AS29)</f>
        <v>2.0619090909090909</v>
      </c>
    </row>
    <row r="30" spans="1:48" x14ac:dyDescent="0.15">
      <c r="A30" s="1" t="s">
        <v>23</v>
      </c>
      <c r="B30" s="3">
        <v>277</v>
      </c>
      <c r="C30" s="3">
        <v>277</v>
      </c>
      <c r="D30" s="3">
        <v>277</v>
      </c>
      <c r="E30" s="3">
        <v>277</v>
      </c>
      <c r="F30" s="3">
        <v>277</v>
      </c>
      <c r="G30" s="3">
        <v>276</v>
      </c>
      <c r="H30" s="3">
        <f>MIN(B30:G30)</f>
        <v>276</v>
      </c>
      <c r="I30" s="3">
        <f>MAX(B30:G30)</f>
        <v>277</v>
      </c>
      <c r="J30" s="3">
        <f>AVERAGE(B30:G30)</f>
        <v>276.83333333333331</v>
      </c>
      <c r="M30" s="3">
        <v>2.0339999999999998</v>
      </c>
      <c r="N30" s="3">
        <v>2.0449999999999999</v>
      </c>
      <c r="O30" s="3">
        <v>2.0390000000000001</v>
      </c>
      <c r="P30" s="3">
        <v>2.0630000000000002</v>
      </c>
      <c r="Q30" s="3">
        <v>2.0640000000000001</v>
      </c>
      <c r="R30" s="3">
        <v>2.0409999999999999</v>
      </c>
      <c r="S30" s="3">
        <v>2.0550000000000002</v>
      </c>
      <c r="T30" s="3">
        <v>2.069</v>
      </c>
      <c r="U30" s="3">
        <v>2.052</v>
      </c>
      <c r="V30" s="3">
        <v>1.9430000000000001</v>
      </c>
      <c r="W30" s="3">
        <v>1.9650000000000001</v>
      </c>
      <c r="X30" s="3">
        <v>2.0510000000000002</v>
      </c>
      <c r="Y30" s="3">
        <v>2.0169999999999999</v>
      </c>
      <c r="Z30" s="3">
        <v>2.0379999999999998</v>
      </c>
      <c r="AA30" s="3">
        <v>2.056</v>
      </c>
      <c r="AB30" s="3">
        <v>2.0270000000000001</v>
      </c>
      <c r="AC30" s="3">
        <v>2.0499999999999998</v>
      </c>
      <c r="AD30" s="3">
        <v>2.0510000000000002</v>
      </c>
      <c r="AE30" s="3">
        <v>2.0579999999999998</v>
      </c>
      <c r="AF30" s="3">
        <v>2.0489999999999999</v>
      </c>
      <c r="AG30" s="3">
        <v>2.0529999999999999</v>
      </c>
      <c r="AH30" s="3">
        <v>2.044</v>
      </c>
      <c r="AI30" s="3">
        <v>2.0449999999999999</v>
      </c>
      <c r="AJ30" s="3">
        <v>2.0169999999999999</v>
      </c>
      <c r="AK30" s="3">
        <v>2.0630000000000002</v>
      </c>
      <c r="AL30" s="3">
        <v>2.0449999999999999</v>
      </c>
      <c r="AM30" s="3">
        <v>2.0539999999999998</v>
      </c>
      <c r="AN30" s="3">
        <v>2.0329999999999999</v>
      </c>
      <c r="AO30" s="3">
        <v>2.0609999999999999</v>
      </c>
      <c r="AP30" s="3">
        <v>2.0369999999999999</v>
      </c>
      <c r="AQ30" s="3">
        <v>2.0459999999999998</v>
      </c>
      <c r="AR30" s="3">
        <v>2.0510000000000002</v>
      </c>
      <c r="AS30" s="3">
        <v>1.9830000000000001</v>
      </c>
      <c r="AT30" s="3">
        <f>MIN(M30:AS30)</f>
        <v>1.9430000000000001</v>
      </c>
      <c r="AU30" s="3">
        <f>MAX(M30:AS30)</f>
        <v>2.069</v>
      </c>
      <c r="AV30" s="3">
        <f>AVERAGE(M30:AS30)</f>
        <v>2.0393636363636367</v>
      </c>
    </row>
    <row r="31" spans="1:48" x14ac:dyDescent="0.15">
      <c r="A31" s="6" t="s">
        <v>39</v>
      </c>
      <c r="B31" s="3">
        <f t="shared" ref="B31:G31" si="18">B29-B30</f>
        <v>35</v>
      </c>
      <c r="C31" s="3">
        <f t="shared" si="18"/>
        <v>36</v>
      </c>
      <c r="D31" s="3">
        <f t="shared" si="18"/>
        <v>34</v>
      </c>
      <c r="E31" s="3">
        <f t="shared" si="18"/>
        <v>26</v>
      </c>
      <c r="F31" s="3">
        <f t="shared" si="18"/>
        <v>36</v>
      </c>
      <c r="G31" s="3">
        <f t="shared" si="18"/>
        <v>29</v>
      </c>
      <c r="H31" s="3">
        <f>MIN(B31:G31)</f>
        <v>26</v>
      </c>
      <c r="I31" s="3">
        <f>MAX(B31:G31)</f>
        <v>36</v>
      </c>
      <c r="J31" s="3">
        <f>AVERAGE(B31:G31)</f>
        <v>32.666666666666664</v>
      </c>
      <c r="M31" s="3">
        <f t="shared" ref="M31:AS31" si="19">M29-M30</f>
        <v>2.4000000000000021E-2</v>
      </c>
      <c r="N31" s="3">
        <f t="shared" si="19"/>
        <v>2.7000000000000135E-2</v>
      </c>
      <c r="O31" s="3">
        <f t="shared" si="19"/>
        <v>2.0999999999999908E-2</v>
      </c>
      <c r="P31" s="3">
        <f t="shared" si="19"/>
        <v>1.499999999999968E-2</v>
      </c>
      <c r="Q31" s="3">
        <f t="shared" si="19"/>
        <v>2.0999999999999908E-2</v>
      </c>
      <c r="R31" s="3">
        <f t="shared" si="19"/>
        <v>2.4000000000000021E-2</v>
      </c>
      <c r="S31" s="3">
        <f t="shared" si="19"/>
        <v>1.6000000000000014E-2</v>
      </c>
      <c r="T31" s="3">
        <f t="shared" si="19"/>
        <v>1.8000000000000238E-2</v>
      </c>
      <c r="U31" s="3">
        <f t="shared" si="19"/>
        <v>2.4000000000000021E-2</v>
      </c>
      <c r="V31" s="3">
        <f t="shared" si="19"/>
        <v>2.4000000000000021E-2</v>
      </c>
      <c r="W31" s="3">
        <f t="shared" si="19"/>
        <v>2.0000000000000018E-2</v>
      </c>
      <c r="X31" s="3">
        <f t="shared" si="19"/>
        <v>2.4999999999999911E-2</v>
      </c>
      <c r="Y31" s="3">
        <f t="shared" si="19"/>
        <v>1.9000000000000128E-2</v>
      </c>
      <c r="Z31" s="3">
        <f t="shared" si="19"/>
        <v>2.4000000000000021E-2</v>
      </c>
      <c r="AA31" s="3">
        <f t="shared" si="19"/>
        <v>2.5999999999999801E-2</v>
      </c>
      <c r="AB31" s="3">
        <f t="shared" si="19"/>
        <v>2.8999999999999915E-2</v>
      </c>
      <c r="AC31" s="3">
        <f t="shared" si="19"/>
        <v>2.4000000000000021E-2</v>
      </c>
      <c r="AD31" s="3">
        <f t="shared" si="19"/>
        <v>2.0999999999999908E-2</v>
      </c>
      <c r="AE31" s="3">
        <f t="shared" si="19"/>
        <v>2.2000000000000242E-2</v>
      </c>
      <c r="AF31" s="3">
        <f t="shared" si="19"/>
        <v>2.0999999999999908E-2</v>
      </c>
      <c r="AG31" s="3">
        <f t="shared" si="19"/>
        <v>2.0000000000000018E-2</v>
      </c>
      <c r="AH31" s="3">
        <f t="shared" si="19"/>
        <v>2.3000000000000131E-2</v>
      </c>
      <c r="AI31" s="3">
        <f t="shared" si="19"/>
        <v>2.7000000000000135E-2</v>
      </c>
      <c r="AJ31" s="3">
        <f t="shared" si="19"/>
        <v>2.4999999999999911E-2</v>
      </c>
      <c r="AK31" s="3">
        <f t="shared" si="19"/>
        <v>2.2999999999999687E-2</v>
      </c>
      <c r="AL31" s="3">
        <f t="shared" si="19"/>
        <v>2.7000000000000135E-2</v>
      </c>
      <c r="AM31" s="3">
        <f t="shared" si="19"/>
        <v>2.1000000000000352E-2</v>
      </c>
      <c r="AN31" s="3">
        <f t="shared" si="19"/>
        <v>2.2000000000000242E-2</v>
      </c>
      <c r="AO31" s="3">
        <f t="shared" si="19"/>
        <v>1.6999999999999904E-2</v>
      </c>
      <c r="AP31" s="3">
        <f t="shared" si="19"/>
        <v>2.2000000000000242E-2</v>
      </c>
      <c r="AQ31" s="3">
        <f t="shared" si="19"/>
        <v>2.4000000000000021E-2</v>
      </c>
      <c r="AR31" s="3">
        <f t="shared" si="19"/>
        <v>2.8000000000000025E-2</v>
      </c>
      <c r="AS31" s="3">
        <f t="shared" si="19"/>
        <v>2.0000000000000018E-2</v>
      </c>
      <c r="AT31" s="3">
        <f>MIN(M31:AS31)</f>
        <v>1.499999999999968E-2</v>
      </c>
      <c r="AU31" s="3">
        <f>MAX(M31:AS31)</f>
        <v>2.8999999999999915E-2</v>
      </c>
      <c r="AV31" s="3">
        <f>AVERAGE(M31:AS31)</f>
        <v>2.2545454545454566E-2</v>
      </c>
    </row>
    <row r="32" spans="1:48" x14ac:dyDescent="0.15">
      <c r="A32" s="6" t="s">
        <v>40</v>
      </c>
      <c r="B32" s="3">
        <f t="shared" ref="B32:G32" si="20">B31/B29*100</f>
        <v>11.217948717948719</v>
      </c>
      <c r="C32" s="3">
        <f t="shared" si="20"/>
        <v>11.501597444089457</v>
      </c>
      <c r="D32" s="3">
        <f t="shared" si="20"/>
        <v>10.932475884244374</v>
      </c>
      <c r="E32" s="3">
        <f t="shared" si="20"/>
        <v>8.5808580858085808</v>
      </c>
      <c r="F32" s="3">
        <f t="shared" si="20"/>
        <v>11.501597444089457</v>
      </c>
      <c r="G32" s="3">
        <f t="shared" si="20"/>
        <v>9.5081967213114744</v>
      </c>
      <c r="H32" s="3">
        <f>MIN(B32:G32)</f>
        <v>8.5808580858085808</v>
      </c>
      <c r="I32" s="3">
        <f>MAX(B32:G32)</f>
        <v>11.501597444089457</v>
      </c>
      <c r="J32" s="7">
        <f>AVERAGE(B32:G32)</f>
        <v>10.540445716248676</v>
      </c>
      <c r="M32" s="3">
        <f t="shared" ref="M32:AS32" si="21">M31/M29*100</f>
        <v>1.1661807580174939</v>
      </c>
      <c r="N32" s="3">
        <f t="shared" si="21"/>
        <v>1.3030888030888095</v>
      </c>
      <c r="O32" s="3">
        <f t="shared" si="21"/>
        <v>1.0194174757281509</v>
      </c>
      <c r="P32" s="3">
        <f t="shared" si="21"/>
        <v>0.72184793070258335</v>
      </c>
      <c r="Q32" s="3">
        <f t="shared" si="21"/>
        <v>1.0071942446043121</v>
      </c>
      <c r="R32" s="3">
        <f t="shared" si="21"/>
        <v>1.16222760290557</v>
      </c>
      <c r="S32" s="3">
        <f t="shared" si="21"/>
        <v>0.77257363592467476</v>
      </c>
      <c r="T32" s="3">
        <f t="shared" si="21"/>
        <v>0.86248203162435244</v>
      </c>
      <c r="U32" s="3">
        <f t="shared" si="21"/>
        <v>1.1560693641618507</v>
      </c>
      <c r="V32" s="3">
        <f t="shared" si="21"/>
        <v>1.2201321809862746</v>
      </c>
      <c r="W32" s="3">
        <f t="shared" si="21"/>
        <v>1.0075566750629732</v>
      </c>
      <c r="X32" s="3">
        <f t="shared" si="21"/>
        <v>1.2042389210019224</v>
      </c>
      <c r="Y32" s="3">
        <f t="shared" si="21"/>
        <v>0.93320235756385694</v>
      </c>
      <c r="Z32" s="3">
        <f t="shared" si="21"/>
        <v>1.1639185257032019</v>
      </c>
      <c r="AA32" s="3">
        <f t="shared" si="21"/>
        <v>1.2487992315081557</v>
      </c>
      <c r="AB32" s="3">
        <f t="shared" si="21"/>
        <v>1.4105058365758714</v>
      </c>
      <c r="AC32" s="3">
        <f t="shared" si="21"/>
        <v>1.1571841851494709</v>
      </c>
      <c r="AD32" s="3">
        <f t="shared" si="21"/>
        <v>1.0135135135135092</v>
      </c>
      <c r="AE32" s="3">
        <f t="shared" si="21"/>
        <v>1.0576923076923193</v>
      </c>
      <c r="AF32" s="3">
        <f t="shared" si="21"/>
        <v>1.014492753623184</v>
      </c>
      <c r="AG32" s="3">
        <f t="shared" si="21"/>
        <v>0.96478533526290489</v>
      </c>
      <c r="AH32" s="3">
        <f t="shared" si="21"/>
        <v>1.1127237542331945</v>
      </c>
      <c r="AI32" s="3">
        <f t="shared" si="21"/>
        <v>1.3030888030888095</v>
      </c>
      <c r="AJ32" s="3">
        <f t="shared" si="21"/>
        <v>1.2242899118511221</v>
      </c>
      <c r="AK32" s="3">
        <f t="shared" si="21"/>
        <v>1.102588686481289</v>
      </c>
      <c r="AL32" s="3">
        <f t="shared" si="21"/>
        <v>1.3030888030888095</v>
      </c>
      <c r="AM32" s="3">
        <f t="shared" si="21"/>
        <v>1.0120481927711014</v>
      </c>
      <c r="AN32" s="3">
        <f t="shared" si="21"/>
        <v>1.0705596107056077</v>
      </c>
      <c r="AO32" s="3">
        <f t="shared" si="21"/>
        <v>0.81809432146294059</v>
      </c>
      <c r="AP32" s="3">
        <f t="shared" si="21"/>
        <v>1.0684798445847614</v>
      </c>
      <c r="AQ32" s="3">
        <f t="shared" si="21"/>
        <v>1.1594202898550736</v>
      </c>
      <c r="AR32" s="3">
        <f t="shared" si="21"/>
        <v>1.346801346801348</v>
      </c>
      <c r="AS32" s="3">
        <f t="shared" si="21"/>
        <v>0.99850224663005571</v>
      </c>
      <c r="AT32" s="3">
        <f>MIN(M32:AS32)</f>
        <v>0.72184793070258335</v>
      </c>
      <c r="AU32" s="3">
        <f>MAX(M32:AS32)</f>
        <v>1.4105058365758714</v>
      </c>
      <c r="AV32" s="7">
        <f>AVERAGE(M32:AS32)</f>
        <v>1.0935390752107743</v>
      </c>
    </row>
    <row r="33" spans="1:48" x14ac:dyDescent="0.15">
      <c r="A33" s="6" t="s">
        <v>41</v>
      </c>
      <c r="B33" s="3">
        <f t="shared" ref="B33:G33" si="22">B31/B30*100</f>
        <v>12.63537906137184</v>
      </c>
      <c r="C33" s="3">
        <f t="shared" si="22"/>
        <v>12.996389891696749</v>
      </c>
      <c r="D33" s="3">
        <f t="shared" si="22"/>
        <v>12.274368231046932</v>
      </c>
      <c r="E33" s="3">
        <f t="shared" si="22"/>
        <v>9.3862815884476536</v>
      </c>
      <c r="F33" s="3">
        <f t="shared" si="22"/>
        <v>12.996389891696749</v>
      </c>
      <c r="G33" s="3">
        <f t="shared" si="22"/>
        <v>10.507246376811594</v>
      </c>
      <c r="H33" s="3">
        <f>MIN(B33:G33)</f>
        <v>9.3862815884476536</v>
      </c>
      <c r="I33" s="3">
        <f>MAX(B33:G33)</f>
        <v>12.996389891696749</v>
      </c>
      <c r="J33" s="7">
        <f>AVERAGE(B33:G33)</f>
        <v>11.799342506845255</v>
      </c>
      <c r="M33" s="3">
        <f t="shared" ref="M33:AS33" si="23">M31/M30*100</f>
        <v>1.1799410029498536</v>
      </c>
      <c r="N33" s="3">
        <f t="shared" si="23"/>
        <v>1.3202933985330141</v>
      </c>
      <c r="O33" s="3">
        <f t="shared" si="23"/>
        <v>1.0299166257969548</v>
      </c>
      <c r="P33" s="3">
        <f t="shared" si="23"/>
        <v>0.72709646146387197</v>
      </c>
      <c r="Q33" s="3">
        <f t="shared" si="23"/>
        <v>1.0174418604651119</v>
      </c>
      <c r="R33" s="3">
        <f t="shared" si="23"/>
        <v>1.1758941695247438</v>
      </c>
      <c r="S33" s="3">
        <f t="shared" si="23"/>
        <v>0.77858880778588868</v>
      </c>
      <c r="T33" s="3">
        <f t="shared" si="23"/>
        <v>0.8699855002416742</v>
      </c>
      <c r="U33" s="3">
        <f t="shared" si="23"/>
        <v>1.1695906432748548</v>
      </c>
      <c r="V33" s="3">
        <f t="shared" si="23"/>
        <v>1.2352032938754514</v>
      </c>
      <c r="W33" s="3">
        <f t="shared" si="23"/>
        <v>1.0178117048346065</v>
      </c>
      <c r="X33" s="3">
        <f t="shared" si="23"/>
        <v>1.2189176011701564</v>
      </c>
      <c r="Y33" s="3">
        <f t="shared" si="23"/>
        <v>0.94199305899851904</v>
      </c>
      <c r="Z33" s="3">
        <f t="shared" si="23"/>
        <v>1.1776251226692849</v>
      </c>
      <c r="AA33" s="3">
        <f t="shared" si="23"/>
        <v>1.2645914396887064</v>
      </c>
      <c r="AB33" s="3">
        <f t="shared" si="23"/>
        <v>1.4306857424765622</v>
      </c>
      <c r="AC33" s="3">
        <f t="shared" si="23"/>
        <v>1.1707317073170744</v>
      </c>
      <c r="AD33" s="3">
        <f t="shared" si="23"/>
        <v>1.0238907849829306</v>
      </c>
      <c r="AE33" s="3">
        <f t="shared" si="23"/>
        <v>1.0689990281827135</v>
      </c>
      <c r="AF33" s="3">
        <f t="shared" si="23"/>
        <v>1.0248901903367451</v>
      </c>
      <c r="AG33" s="3">
        <f t="shared" si="23"/>
        <v>0.97418412079883188</v>
      </c>
      <c r="AH33" s="3">
        <f t="shared" si="23"/>
        <v>1.1252446183953098</v>
      </c>
      <c r="AI33" s="3">
        <f t="shared" si="23"/>
        <v>1.3202933985330141</v>
      </c>
      <c r="AJ33" s="3">
        <f t="shared" si="23"/>
        <v>1.239464551313828</v>
      </c>
      <c r="AK33" s="3">
        <f t="shared" si="23"/>
        <v>1.1148812409112789</v>
      </c>
      <c r="AL33" s="3">
        <f t="shared" si="23"/>
        <v>1.3202933985330141</v>
      </c>
      <c r="AM33" s="3">
        <f t="shared" si="23"/>
        <v>1.0223953261928118</v>
      </c>
      <c r="AN33" s="3">
        <f t="shared" si="23"/>
        <v>1.0821446138711384</v>
      </c>
      <c r="AO33" s="3">
        <f t="shared" si="23"/>
        <v>0.82484230955846216</v>
      </c>
      <c r="AP33" s="3">
        <f t="shared" si="23"/>
        <v>1.0800196367206796</v>
      </c>
      <c r="AQ33" s="3">
        <f t="shared" si="23"/>
        <v>1.1730205278592387</v>
      </c>
      <c r="AR33" s="3">
        <f t="shared" si="23"/>
        <v>1.3651877133105812</v>
      </c>
      <c r="AS33" s="3">
        <f t="shared" si="23"/>
        <v>1.0085728693898142</v>
      </c>
      <c r="AT33" s="3">
        <f>MIN(M33:AS33)</f>
        <v>0.72709646146387197</v>
      </c>
      <c r="AU33" s="3">
        <f>MAX(M33:AS33)</f>
        <v>1.4306857424765622</v>
      </c>
      <c r="AV33" s="7">
        <f>AVERAGE(M33:AS33)</f>
        <v>1.1058979536350522</v>
      </c>
    </row>
    <row r="34" spans="1:48" x14ac:dyDescent="0.15">
      <c r="B34" s="3"/>
      <c r="C34" s="3"/>
      <c r="D34" s="3"/>
      <c r="E34" s="3"/>
      <c r="F34" s="3"/>
      <c r="G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</row>
    <row r="35" spans="1:48" x14ac:dyDescent="0.15">
      <c r="A35" s="1" t="s">
        <v>24</v>
      </c>
      <c r="B35" s="3">
        <v>383</v>
      </c>
      <c r="C35" s="3">
        <v>384</v>
      </c>
      <c r="D35" s="3">
        <v>386</v>
      </c>
      <c r="E35" s="3">
        <v>371</v>
      </c>
      <c r="F35" s="3">
        <v>381</v>
      </c>
      <c r="G35" s="3">
        <v>382</v>
      </c>
      <c r="H35" s="3">
        <f>MIN(B35:G35)</f>
        <v>371</v>
      </c>
      <c r="I35" s="3">
        <f>MAX(B35:G35)</f>
        <v>386</v>
      </c>
      <c r="J35" s="3">
        <f>AVERAGE(B35:G35)</f>
        <v>381.16666666666669</v>
      </c>
      <c r="M35" s="3">
        <v>4.0919999999999996</v>
      </c>
      <c r="N35" s="3">
        <v>4.1109999999999998</v>
      </c>
      <c r="O35" s="3">
        <v>4.0949999999999998</v>
      </c>
      <c r="P35" s="3">
        <v>4.141</v>
      </c>
      <c r="Q35" s="3">
        <v>4.1289999999999996</v>
      </c>
      <c r="R35" s="3">
        <v>4.1260000000000003</v>
      </c>
      <c r="S35" s="3">
        <v>4.117</v>
      </c>
      <c r="T35" s="3">
        <v>4.1529999999999996</v>
      </c>
      <c r="U35" s="3">
        <v>4.1280000000000001</v>
      </c>
      <c r="V35" s="3">
        <v>3.9020000000000001</v>
      </c>
      <c r="W35" s="3">
        <v>3.9590000000000001</v>
      </c>
      <c r="X35" s="3">
        <v>4.1189999999999998</v>
      </c>
      <c r="Y35" s="3">
        <v>4.0549999999999997</v>
      </c>
      <c r="Z35" s="3">
        <v>4.0869999999999997</v>
      </c>
      <c r="AA35" s="3">
        <v>4.1479999999999997</v>
      </c>
      <c r="AB35" s="3">
        <v>4.0970000000000004</v>
      </c>
      <c r="AC35" s="3">
        <v>4.1100000000000003</v>
      </c>
      <c r="AD35" s="3">
        <v>4.13</v>
      </c>
      <c r="AE35" s="3">
        <v>4.1399999999999997</v>
      </c>
      <c r="AF35" s="3">
        <v>4.1210000000000004</v>
      </c>
      <c r="AG35" s="3">
        <v>4.1289999999999996</v>
      </c>
      <c r="AH35" s="3">
        <v>4.1109999999999998</v>
      </c>
      <c r="AI35" s="3">
        <v>4.1189999999999998</v>
      </c>
      <c r="AJ35" s="3">
        <v>4.0599999999999996</v>
      </c>
      <c r="AK35" s="3">
        <v>4.1479999999999997</v>
      </c>
      <c r="AL35" s="3">
        <v>4.1120000000000001</v>
      </c>
      <c r="AM35" s="3">
        <v>4.1449999999999996</v>
      </c>
      <c r="AN35" s="3">
        <v>4.0979999999999999</v>
      </c>
      <c r="AO35" s="3">
        <v>4.1449999999999996</v>
      </c>
      <c r="AP35" s="3">
        <v>4.0940000000000003</v>
      </c>
      <c r="AQ35" s="3">
        <v>4.125</v>
      </c>
      <c r="AR35" s="3">
        <v>4.1189999999999998</v>
      </c>
      <c r="AS35" s="3">
        <v>3.9689999999999999</v>
      </c>
      <c r="AT35" s="3">
        <f>MIN(M35:AS35)</f>
        <v>3.9020000000000001</v>
      </c>
      <c r="AU35" s="3">
        <f>MAX(M35:AS35)</f>
        <v>4.1529999999999996</v>
      </c>
      <c r="AV35" s="3">
        <f>AVERAGE(M35:AS35)</f>
        <v>4.101030303030301</v>
      </c>
    </row>
    <row r="36" spans="1:48" x14ac:dyDescent="0.15">
      <c r="A36" s="1" t="s">
        <v>24</v>
      </c>
      <c r="B36" s="3">
        <v>358</v>
      </c>
      <c r="C36" s="3">
        <v>359</v>
      </c>
      <c r="D36" s="3">
        <v>359</v>
      </c>
      <c r="E36" s="3">
        <v>359</v>
      </c>
      <c r="F36" s="3">
        <v>359</v>
      </c>
      <c r="G36" s="3">
        <v>358</v>
      </c>
      <c r="H36" s="3">
        <f>MIN(B36:G36)</f>
        <v>358</v>
      </c>
      <c r="I36" s="3">
        <f>MAX(B36:G36)</f>
        <v>359</v>
      </c>
      <c r="J36" s="3">
        <f>AVERAGE(B36:G36)</f>
        <v>358.66666666666669</v>
      </c>
      <c r="M36" s="3">
        <v>4.0430000000000001</v>
      </c>
      <c r="N36" s="3">
        <v>4.0599999999999996</v>
      </c>
      <c r="O36" s="3">
        <v>4.0599999999999996</v>
      </c>
      <c r="P36" s="3">
        <v>4.0869999999999997</v>
      </c>
      <c r="Q36" s="3">
        <v>4.093</v>
      </c>
      <c r="R36" s="3">
        <v>4.0590000000000002</v>
      </c>
      <c r="S36" s="3">
        <v>4.0830000000000002</v>
      </c>
      <c r="T36" s="3">
        <v>4.0949999999999998</v>
      </c>
      <c r="U36" s="3">
        <v>4.0789999999999997</v>
      </c>
      <c r="V36" s="3">
        <v>3.863</v>
      </c>
      <c r="W36" s="3">
        <v>3.9079999999999999</v>
      </c>
      <c r="X36" s="3">
        <v>4.0650000000000004</v>
      </c>
      <c r="Y36" s="3">
        <v>4.0140000000000002</v>
      </c>
      <c r="Z36" s="3">
        <v>4.0469999999999997</v>
      </c>
      <c r="AA36" s="3">
        <v>4.1040000000000001</v>
      </c>
      <c r="AB36" s="3">
        <v>4.0430000000000001</v>
      </c>
      <c r="AC36" s="3">
        <v>4.048</v>
      </c>
      <c r="AD36" s="3">
        <v>4.0910000000000002</v>
      </c>
      <c r="AE36" s="3">
        <v>4.0990000000000002</v>
      </c>
      <c r="AF36" s="3">
        <v>4.0579999999999998</v>
      </c>
      <c r="AG36" s="3">
        <v>4.0750000000000002</v>
      </c>
      <c r="AH36" s="3">
        <v>4.0620000000000003</v>
      </c>
      <c r="AI36" s="3">
        <v>4.0659999999999998</v>
      </c>
      <c r="AJ36" s="3">
        <v>4.01</v>
      </c>
      <c r="AK36" s="3">
        <v>4.085</v>
      </c>
      <c r="AL36" s="3">
        <v>4.0670000000000002</v>
      </c>
      <c r="AM36" s="3">
        <v>4.0910000000000002</v>
      </c>
      <c r="AN36" s="3">
        <v>4.0410000000000004</v>
      </c>
      <c r="AO36" s="3">
        <v>4.0940000000000003</v>
      </c>
      <c r="AP36" s="3">
        <v>4.0490000000000004</v>
      </c>
      <c r="AQ36" s="3">
        <v>4.0819999999999999</v>
      </c>
      <c r="AR36" s="3">
        <v>4.07</v>
      </c>
      <c r="AS36" s="3">
        <v>3.9449999999999998</v>
      </c>
      <c r="AT36" s="3">
        <f>MIN(M36:AS36)</f>
        <v>3.863</v>
      </c>
      <c r="AU36" s="3">
        <f>MAX(M36:AS36)</f>
        <v>4.1040000000000001</v>
      </c>
      <c r="AV36" s="3">
        <f>AVERAGE(M36:AS36)</f>
        <v>4.0526060606060605</v>
      </c>
    </row>
    <row r="37" spans="1:48" x14ac:dyDescent="0.15">
      <c r="A37" s="6" t="s">
        <v>39</v>
      </c>
      <c r="B37" s="3">
        <f t="shared" ref="B37:G37" si="24">B35-B36</f>
        <v>25</v>
      </c>
      <c r="C37" s="3">
        <f t="shared" si="24"/>
        <v>25</v>
      </c>
      <c r="D37" s="3">
        <f t="shared" si="24"/>
        <v>27</v>
      </c>
      <c r="E37" s="3">
        <f t="shared" si="24"/>
        <v>12</v>
      </c>
      <c r="F37" s="3">
        <f t="shared" si="24"/>
        <v>22</v>
      </c>
      <c r="G37" s="3">
        <f t="shared" si="24"/>
        <v>24</v>
      </c>
      <c r="H37" s="3">
        <f>MIN(B37:G37)</f>
        <v>12</v>
      </c>
      <c r="I37" s="3">
        <f>MAX(B37:G37)</f>
        <v>27</v>
      </c>
      <c r="J37" s="3">
        <f>AVERAGE(B37:G37)</f>
        <v>22.5</v>
      </c>
      <c r="M37" s="3">
        <f t="shared" ref="M37:AS37" si="25">M35-M36</f>
        <v>4.8999999999999488E-2</v>
      </c>
      <c r="N37" s="3">
        <f t="shared" si="25"/>
        <v>5.1000000000000156E-2</v>
      </c>
      <c r="O37" s="3">
        <f t="shared" si="25"/>
        <v>3.5000000000000142E-2</v>
      </c>
      <c r="P37" s="3">
        <f t="shared" si="25"/>
        <v>5.400000000000027E-2</v>
      </c>
      <c r="Q37" s="3">
        <f t="shared" si="25"/>
        <v>3.5999999999999588E-2</v>
      </c>
      <c r="R37" s="3">
        <f t="shared" si="25"/>
        <v>6.7000000000000171E-2</v>
      </c>
      <c r="S37" s="3">
        <f t="shared" si="25"/>
        <v>3.3999999999999808E-2</v>
      </c>
      <c r="T37" s="3">
        <f t="shared" si="25"/>
        <v>5.7999999999999829E-2</v>
      </c>
      <c r="U37" s="3">
        <f t="shared" si="25"/>
        <v>4.9000000000000377E-2</v>
      </c>
      <c r="V37" s="3">
        <f t="shared" si="25"/>
        <v>3.9000000000000146E-2</v>
      </c>
      <c r="W37" s="3">
        <f t="shared" si="25"/>
        <v>5.1000000000000156E-2</v>
      </c>
      <c r="X37" s="3">
        <f t="shared" si="25"/>
        <v>5.3999999999999382E-2</v>
      </c>
      <c r="Y37" s="3">
        <f t="shared" si="25"/>
        <v>4.0999999999999481E-2</v>
      </c>
      <c r="Z37" s="3">
        <f t="shared" si="25"/>
        <v>4.0000000000000036E-2</v>
      </c>
      <c r="AA37" s="3">
        <f t="shared" si="25"/>
        <v>4.3999999999999595E-2</v>
      </c>
      <c r="AB37" s="3">
        <f t="shared" si="25"/>
        <v>5.400000000000027E-2</v>
      </c>
      <c r="AC37" s="3">
        <f t="shared" si="25"/>
        <v>6.2000000000000277E-2</v>
      </c>
      <c r="AD37" s="3">
        <f t="shared" si="25"/>
        <v>3.8999999999999702E-2</v>
      </c>
      <c r="AE37" s="3">
        <f t="shared" si="25"/>
        <v>4.0999999999999481E-2</v>
      </c>
      <c r="AF37" s="3">
        <f t="shared" si="25"/>
        <v>6.3000000000000611E-2</v>
      </c>
      <c r="AG37" s="3">
        <f t="shared" si="25"/>
        <v>5.3999999999999382E-2</v>
      </c>
      <c r="AH37" s="3">
        <f t="shared" si="25"/>
        <v>4.8999999999999488E-2</v>
      </c>
      <c r="AI37" s="3">
        <f t="shared" si="25"/>
        <v>5.2999999999999936E-2</v>
      </c>
      <c r="AJ37" s="3">
        <f t="shared" si="25"/>
        <v>4.9999999999999822E-2</v>
      </c>
      <c r="AK37" s="3">
        <f t="shared" si="25"/>
        <v>6.2999999999999723E-2</v>
      </c>
      <c r="AL37" s="3">
        <f t="shared" si="25"/>
        <v>4.4999999999999929E-2</v>
      </c>
      <c r="AM37" s="3">
        <f t="shared" si="25"/>
        <v>5.3999999999999382E-2</v>
      </c>
      <c r="AN37" s="3">
        <f t="shared" si="25"/>
        <v>5.6999999999999496E-2</v>
      </c>
      <c r="AO37" s="3">
        <f t="shared" si="25"/>
        <v>5.0999999999999268E-2</v>
      </c>
      <c r="AP37" s="3">
        <f t="shared" si="25"/>
        <v>4.4999999999999929E-2</v>
      </c>
      <c r="AQ37" s="3">
        <f t="shared" si="25"/>
        <v>4.3000000000000149E-2</v>
      </c>
      <c r="AR37" s="3">
        <f t="shared" si="25"/>
        <v>4.8999999999999488E-2</v>
      </c>
      <c r="AS37" s="3">
        <f t="shared" si="25"/>
        <v>2.4000000000000021E-2</v>
      </c>
      <c r="AT37" s="3">
        <f>MIN(M37:AS37)</f>
        <v>2.4000000000000021E-2</v>
      </c>
      <c r="AU37" s="3">
        <f>MAX(M37:AS37)</f>
        <v>6.7000000000000171E-2</v>
      </c>
      <c r="AV37" s="3">
        <f>AVERAGE(M37:AS37)</f>
        <v>4.8424242424242273E-2</v>
      </c>
    </row>
    <row r="38" spans="1:48" x14ac:dyDescent="0.15">
      <c r="A38" s="6" t="s">
        <v>40</v>
      </c>
      <c r="B38" s="3">
        <f t="shared" ref="B38:G38" si="26">B37/B35*100</f>
        <v>6.5274151436031342</v>
      </c>
      <c r="C38" s="3">
        <f t="shared" si="26"/>
        <v>6.510416666666667</v>
      </c>
      <c r="D38" s="3">
        <f t="shared" si="26"/>
        <v>6.9948186528497409</v>
      </c>
      <c r="E38" s="3">
        <f t="shared" si="26"/>
        <v>3.2345013477088949</v>
      </c>
      <c r="F38" s="3">
        <f t="shared" si="26"/>
        <v>5.7742782152230969</v>
      </c>
      <c r="G38" s="3">
        <f t="shared" si="26"/>
        <v>6.2827225130890048</v>
      </c>
      <c r="H38" s="3">
        <f>MIN(B38:G38)</f>
        <v>3.2345013477088949</v>
      </c>
      <c r="I38" s="3">
        <f>MAX(B38:G38)</f>
        <v>6.9948186528497409</v>
      </c>
      <c r="J38" s="7">
        <f>AVERAGE(B38:G38)</f>
        <v>5.8873587565234233</v>
      </c>
      <c r="M38" s="3">
        <f t="shared" ref="M38:AS38" si="27">M37/M35*100</f>
        <v>1.1974584555229593</v>
      </c>
      <c r="N38" s="3">
        <f t="shared" si="27"/>
        <v>1.2405740695694518</v>
      </c>
      <c r="O38" s="3">
        <f t="shared" si="27"/>
        <v>0.85470085470085821</v>
      </c>
      <c r="P38" s="3">
        <f t="shared" si="27"/>
        <v>1.3040328423086276</v>
      </c>
      <c r="Q38" s="3">
        <f t="shared" si="27"/>
        <v>0.87188181157664313</v>
      </c>
      <c r="R38" s="3">
        <f t="shared" si="27"/>
        <v>1.6238487639360195</v>
      </c>
      <c r="S38" s="3">
        <f t="shared" si="27"/>
        <v>0.82584406120961396</v>
      </c>
      <c r="T38" s="3">
        <f t="shared" si="27"/>
        <v>1.3965807849747129</v>
      </c>
      <c r="U38" s="3">
        <f t="shared" si="27"/>
        <v>1.187015503875978</v>
      </c>
      <c r="V38" s="3">
        <f t="shared" si="27"/>
        <v>0.99948744233726661</v>
      </c>
      <c r="W38" s="3">
        <f t="shared" si="27"/>
        <v>1.2882040919424136</v>
      </c>
      <c r="X38" s="3">
        <f t="shared" si="27"/>
        <v>1.3109978150036268</v>
      </c>
      <c r="Y38" s="3">
        <f t="shared" si="27"/>
        <v>1.0110974106041797</v>
      </c>
      <c r="Z38" s="3">
        <f t="shared" si="27"/>
        <v>0.97871299241497522</v>
      </c>
      <c r="AA38" s="3">
        <f t="shared" si="27"/>
        <v>1.0607521697203375</v>
      </c>
      <c r="AB38" s="3">
        <f t="shared" si="27"/>
        <v>1.3180375884793816</v>
      </c>
      <c r="AC38" s="3">
        <f t="shared" si="27"/>
        <v>1.5085158150851647</v>
      </c>
      <c r="AD38" s="3">
        <f t="shared" si="27"/>
        <v>0.94430992736076769</v>
      </c>
      <c r="AE38" s="3">
        <f t="shared" si="27"/>
        <v>0.99033816425119525</v>
      </c>
      <c r="AF38" s="3">
        <f t="shared" si="27"/>
        <v>1.5287551565154236</v>
      </c>
      <c r="AG38" s="3">
        <f t="shared" si="27"/>
        <v>1.3078227173649646</v>
      </c>
      <c r="AH38" s="3">
        <f t="shared" si="27"/>
        <v>1.1919241060569081</v>
      </c>
      <c r="AI38" s="3">
        <f t="shared" si="27"/>
        <v>1.286720077688758</v>
      </c>
      <c r="AJ38" s="3">
        <f t="shared" si="27"/>
        <v>1.2315270935960547</v>
      </c>
      <c r="AK38" s="3">
        <f t="shared" si="27"/>
        <v>1.5188042430086723</v>
      </c>
      <c r="AL38" s="3">
        <f t="shared" si="27"/>
        <v>1.0943579766536946</v>
      </c>
      <c r="AM38" s="3">
        <f t="shared" si="27"/>
        <v>1.3027744270204917</v>
      </c>
      <c r="AN38" s="3">
        <f t="shared" si="27"/>
        <v>1.3909224011712908</v>
      </c>
      <c r="AO38" s="3">
        <f t="shared" si="27"/>
        <v>1.2303980699637942</v>
      </c>
      <c r="AP38" s="3">
        <f t="shared" si="27"/>
        <v>1.0991695163654109</v>
      </c>
      <c r="AQ38" s="3">
        <f t="shared" si="27"/>
        <v>1.042424242424246</v>
      </c>
      <c r="AR38" s="3">
        <f t="shared" si="27"/>
        <v>1.1896091284292181</v>
      </c>
      <c r="AS38" s="3">
        <f t="shared" si="27"/>
        <v>0.60468631897203384</v>
      </c>
      <c r="AT38" s="3">
        <f>MIN(M38:AS38)</f>
        <v>0.60468631897203384</v>
      </c>
      <c r="AU38" s="3">
        <f>MAX(M38:AS38)</f>
        <v>1.6238487639360195</v>
      </c>
      <c r="AV38" s="7">
        <f>AVERAGE(M38:AS38)</f>
        <v>1.1797662436395497</v>
      </c>
    </row>
    <row r="39" spans="1:48" x14ac:dyDescent="0.15">
      <c r="A39" s="6" t="s">
        <v>41</v>
      </c>
      <c r="B39" s="3">
        <f t="shared" ref="B39:G39" si="28">B37/B36*100</f>
        <v>6.983240223463687</v>
      </c>
      <c r="C39" s="3">
        <f t="shared" si="28"/>
        <v>6.9637883008356551</v>
      </c>
      <c r="D39" s="3">
        <f t="shared" si="28"/>
        <v>7.5208913649025071</v>
      </c>
      <c r="E39" s="3">
        <f t="shared" si="28"/>
        <v>3.3426183844011144</v>
      </c>
      <c r="F39" s="3">
        <f t="shared" si="28"/>
        <v>6.1281337047353759</v>
      </c>
      <c r="G39" s="3">
        <f t="shared" si="28"/>
        <v>6.7039106145251397</v>
      </c>
      <c r="H39" s="3">
        <f>MIN(B39:G39)</f>
        <v>3.3426183844011144</v>
      </c>
      <c r="I39" s="3">
        <f>MAX(B39:G39)</f>
        <v>7.5208913649025071</v>
      </c>
      <c r="J39" s="7">
        <f>AVERAGE(B39:G39)</f>
        <v>6.2737637654772458</v>
      </c>
      <c r="M39" s="3">
        <f t="shared" ref="M39:AS39" si="29">M37/M36*100</f>
        <v>1.2119713084343182</v>
      </c>
      <c r="N39" s="3">
        <f t="shared" si="29"/>
        <v>1.2561576354679842</v>
      </c>
      <c r="O39" s="3">
        <f t="shared" si="29"/>
        <v>0.86206896551724499</v>
      </c>
      <c r="P39" s="3">
        <f t="shared" si="29"/>
        <v>1.321262539760222</v>
      </c>
      <c r="Q39" s="3">
        <f t="shared" si="29"/>
        <v>0.87955045199119442</v>
      </c>
      <c r="R39" s="3">
        <f t="shared" si="29"/>
        <v>1.6506528701650696</v>
      </c>
      <c r="S39" s="3">
        <f t="shared" si="29"/>
        <v>0.83272103845211387</v>
      </c>
      <c r="T39" s="3">
        <f t="shared" si="29"/>
        <v>1.4163614163614122</v>
      </c>
      <c r="U39" s="3">
        <f t="shared" si="29"/>
        <v>1.2012748222603671</v>
      </c>
      <c r="V39" s="3">
        <f t="shared" si="29"/>
        <v>1.0095780481491106</v>
      </c>
      <c r="W39" s="3">
        <f t="shared" si="29"/>
        <v>1.3050153531218054</v>
      </c>
      <c r="X39" s="3">
        <f t="shared" si="29"/>
        <v>1.328413284132826</v>
      </c>
      <c r="Y39" s="3">
        <f t="shared" si="29"/>
        <v>1.0214250124563897</v>
      </c>
      <c r="Z39" s="3">
        <f t="shared" si="29"/>
        <v>0.98838645910551115</v>
      </c>
      <c r="AA39" s="3">
        <f t="shared" si="29"/>
        <v>1.0721247563352727</v>
      </c>
      <c r="AB39" s="3">
        <f t="shared" si="29"/>
        <v>1.3356418501113101</v>
      </c>
      <c r="AC39" s="3">
        <f t="shared" si="29"/>
        <v>1.5316205533596905</v>
      </c>
      <c r="AD39" s="3">
        <f t="shared" si="29"/>
        <v>0.95331214861891223</v>
      </c>
      <c r="AE39" s="3">
        <f t="shared" si="29"/>
        <v>1.0002439619419243</v>
      </c>
      <c r="AF39" s="3">
        <f t="shared" si="29"/>
        <v>1.5524889107935096</v>
      </c>
      <c r="AG39" s="3">
        <f t="shared" si="29"/>
        <v>1.3251533742331136</v>
      </c>
      <c r="AH39" s="3">
        <f t="shared" si="29"/>
        <v>1.2063023141309572</v>
      </c>
      <c r="AI39" s="3">
        <f t="shared" si="29"/>
        <v>1.30349237579931</v>
      </c>
      <c r="AJ39" s="3">
        <f t="shared" si="29"/>
        <v>1.246882793017452</v>
      </c>
      <c r="AK39" s="3">
        <f t="shared" si="29"/>
        <v>1.5422276621786957</v>
      </c>
      <c r="AL39" s="3">
        <f t="shared" si="29"/>
        <v>1.1064666830587639</v>
      </c>
      <c r="AM39" s="3">
        <f t="shared" si="29"/>
        <v>1.3199706673184888</v>
      </c>
      <c r="AN39" s="3">
        <f t="shared" si="29"/>
        <v>1.4105419450630905</v>
      </c>
      <c r="AO39" s="3">
        <f t="shared" si="29"/>
        <v>1.2457254518807832</v>
      </c>
      <c r="AP39" s="3">
        <f t="shared" si="29"/>
        <v>1.1113855272906872</v>
      </c>
      <c r="AQ39" s="3">
        <f t="shared" si="29"/>
        <v>1.0534051935325857</v>
      </c>
      <c r="AR39" s="3">
        <f t="shared" si="29"/>
        <v>1.2039312039311914</v>
      </c>
      <c r="AS39" s="3">
        <f t="shared" si="29"/>
        <v>0.60836501901140738</v>
      </c>
      <c r="AT39" s="3">
        <f>MIN(M39:AS39)</f>
        <v>0.60836501901140738</v>
      </c>
      <c r="AU39" s="3">
        <f>MAX(M39:AS39)</f>
        <v>1.6506528701650696</v>
      </c>
      <c r="AV39" s="7">
        <f>AVERAGE(M39:AS39)</f>
        <v>1.1943673211206882</v>
      </c>
    </row>
    <row r="40" spans="1:48" x14ac:dyDescent="0.15">
      <c r="B40" s="3"/>
      <c r="C40" s="3"/>
      <c r="D40" s="3"/>
      <c r="E40" s="3"/>
      <c r="F40" s="3"/>
      <c r="G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</row>
    <row r="41" spans="1:48" x14ac:dyDescent="0.15">
      <c r="A41" s="1" t="s">
        <v>25</v>
      </c>
      <c r="B41" s="3">
        <v>514</v>
      </c>
      <c r="C41" s="3">
        <v>513</v>
      </c>
      <c r="D41" s="3">
        <v>507</v>
      </c>
      <c r="E41" s="3">
        <v>500</v>
      </c>
      <c r="F41" s="3">
        <v>501</v>
      </c>
      <c r="G41" s="3">
        <v>514</v>
      </c>
      <c r="H41" s="3">
        <f>MIN(B41:G41)</f>
        <v>500</v>
      </c>
      <c r="I41" s="3">
        <f>MAX(B41:G41)</f>
        <v>514</v>
      </c>
      <c r="J41" s="3">
        <f>AVERAGE(B41:G41)</f>
        <v>508.16666666666669</v>
      </c>
      <c r="M41" s="3">
        <v>29</v>
      </c>
      <c r="N41" s="3">
        <v>29.1</v>
      </c>
      <c r="O41" s="3">
        <v>28</v>
      </c>
      <c r="P41" s="3">
        <v>29.5</v>
      </c>
      <c r="Q41" s="3">
        <v>29.5</v>
      </c>
      <c r="R41" s="3">
        <v>29.4</v>
      </c>
      <c r="S41" s="3">
        <v>29.4</v>
      </c>
      <c r="T41" s="3">
        <v>29.7</v>
      </c>
      <c r="U41" s="3">
        <v>28.9</v>
      </c>
      <c r="V41" s="3">
        <v>27.5</v>
      </c>
      <c r="W41" s="3">
        <v>27.9</v>
      </c>
      <c r="X41" s="3">
        <v>28.6</v>
      </c>
      <c r="Y41" s="3">
        <v>29.1</v>
      </c>
      <c r="Z41" s="3">
        <v>28.7</v>
      </c>
      <c r="AA41" s="3">
        <v>29.5</v>
      </c>
      <c r="AB41" s="3">
        <v>28.4</v>
      </c>
      <c r="AC41" s="3">
        <v>29</v>
      </c>
      <c r="AD41" s="3">
        <v>29.2</v>
      </c>
      <c r="AE41" s="3">
        <v>29.6</v>
      </c>
      <c r="AF41" s="3">
        <v>29.4</v>
      </c>
      <c r="AG41" s="3">
        <v>28.9</v>
      </c>
      <c r="AH41" s="3">
        <v>28.9</v>
      </c>
      <c r="AI41" s="3">
        <v>29.1</v>
      </c>
      <c r="AJ41" s="3">
        <v>28.8</v>
      </c>
      <c r="AK41" s="3">
        <v>29.4</v>
      </c>
      <c r="AL41" s="3">
        <v>29.1</v>
      </c>
      <c r="AM41" s="3">
        <v>29.4</v>
      </c>
      <c r="AN41" s="3">
        <v>29.3</v>
      </c>
      <c r="AO41" s="3">
        <v>29.3</v>
      </c>
      <c r="AP41" s="3">
        <v>28.9</v>
      </c>
      <c r="AQ41" s="3">
        <v>29.2</v>
      </c>
      <c r="AR41" s="3">
        <v>28</v>
      </c>
      <c r="AS41" s="3">
        <v>28.5</v>
      </c>
      <c r="AT41" s="3">
        <f>MIN(M41:AS41)</f>
        <v>27.5</v>
      </c>
      <c r="AU41" s="3">
        <f>MAX(M41:AS41)</f>
        <v>29.7</v>
      </c>
      <c r="AV41" s="3">
        <f>AVERAGE(M41:AS41)</f>
        <v>28.975757575757569</v>
      </c>
    </row>
    <row r="42" spans="1:48" x14ac:dyDescent="0.15">
      <c r="A42" s="1" t="s">
        <v>25</v>
      </c>
      <c r="B42" s="3">
        <v>512</v>
      </c>
      <c r="C42" s="3">
        <v>509</v>
      </c>
      <c r="D42" s="3">
        <v>496</v>
      </c>
      <c r="E42" s="3">
        <v>497</v>
      </c>
      <c r="F42" s="3">
        <v>502</v>
      </c>
      <c r="G42" s="3">
        <v>507</v>
      </c>
      <c r="H42" s="3">
        <f>MIN(B42:G42)</f>
        <v>496</v>
      </c>
      <c r="I42" s="3">
        <f>MAX(B42:G42)</f>
        <v>512</v>
      </c>
      <c r="J42" s="3">
        <f>AVERAGE(B42:G42)</f>
        <v>503.83333333333331</v>
      </c>
      <c r="M42" s="3">
        <v>28.9</v>
      </c>
      <c r="N42" s="3">
        <v>28.9</v>
      </c>
      <c r="O42" s="3">
        <v>28.7</v>
      </c>
      <c r="P42" s="3">
        <v>29</v>
      </c>
      <c r="Q42" s="3">
        <v>29.2</v>
      </c>
      <c r="R42" s="3">
        <v>28.8</v>
      </c>
      <c r="S42" s="3">
        <v>28.8</v>
      </c>
      <c r="T42" s="3">
        <v>28.7</v>
      </c>
      <c r="U42" s="3">
        <v>28.1</v>
      </c>
      <c r="V42" s="3">
        <v>27.5</v>
      </c>
      <c r="W42" s="3">
        <v>27.6</v>
      </c>
      <c r="X42" s="3">
        <v>28.8</v>
      </c>
      <c r="Y42" s="3">
        <v>28.5</v>
      </c>
      <c r="Z42" s="3">
        <v>28.6</v>
      </c>
      <c r="AA42" s="3">
        <v>29.1</v>
      </c>
      <c r="AB42" s="3">
        <v>28.3</v>
      </c>
      <c r="AC42" s="3">
        <v>28.7</v>
      </c>
      <c r="AD42" s="3">
        <v>28.7</v>
      </c>
      <c r="AE42" s="3">
        <v>29.1</v>
      </c>
      <c r="AF42" s="3">
        <v>29.1</v>
      </c>
      <c r="AG42" s="3">
        <v>29.2</v>
      </c>
      <c r="AH42" s="3">
        <v>28.6</v>
      </c>
      <c r="AI42" s="3">
        <v>28.8</v>
      </c>
      <c r="AJ42" s="3">
        <v>28.4</v>
      </c>
      <c r="AK42" s="3">
        <v>28</v>
      </c>
      <c r="AL42" s="3">
        <v>28.7</v>
      </c>
      <c r="AM42" s="3">
        <v>29.3</v>
      </c>
      <c r="AN42" s="3">
        <v>28.6</v>
      </c>
      <c r="AO42" s="3">
        <v>28.7</v>
      </c>
      <c r="AP42" s="3">
        <v>28.8</v>
      </c>
      <c r="AQ42" s="3">
        <v>28.9</v>
      </c>
      <c r="AR42" s="3">
        <v>28.6</v>
      </c>
      <c r="AS42" s="3">
        <v>28.3</v>
      </c>
      <c r="AT42" s="3">
        <f>MIN(M42:AS42)</f>
        <v>27.5</v>
      </c>
      <c r="AU42" s="3">
        <f>MAX(M42:AS42)</f>
        <v>29.3</v>
      </c>
      <c r="AV42" s="3">
        <f>AVERAGE(M42:AS42)</f>
        <v>28.666666666666671</v>
      </c>
    </row>
    <row r="43" spans="1:48" x14ac:dyDescent="0.15">
      <c r="A43" s="6" t="s">
        <v>39</v>
      </c>
      <c r="B43">
        <f t="shared" ref="B43:G43" si="30">B41-B42</f>
        <v>2</v>
      </c>
      <c r="C43">
        <f t="shared" si="30"/>
        <v>4</v>
      </c>
      <c r="D43">
        <f t="shared" si="30"/>
        <v>11</v>
      </c>
      <c r="E43">
        <f t="shared" si="30"/>
        <v>3</v>
      </c>
      <c r="F43">
        <f t="shared" si="30"/>
        <v>-1</v>
      </c>
      <c r="G43">
        <f t="shared" si="30"/>
        <v>7</v>
      </c>
      <c r="H43" s="3">
        <f>MIN(B43:G43)</f>
        <v>-1</v>
      </c>
      <c r="I43" s="3">
        <f>MAX(B43:G43)</f>
        <v>11</v>
      </c>
      <c r="J43" s="3">
        <f>AVERAGE(B43:G43)</f>
        <v>4.333333333333333</v>
      </c>
      <c r="M43">
        <f t="shared" ref="M43:AS43" si="31">M41-M42</f>
        <v>0.10000000000000142</v>
      </c>
      <c r="N43">
        <f t="shared" si="31"/>
        <v>0.20000000000000284</v>
      </c>
      <c r="O43">
        <f t="shared" si="31"/>
        <v>-0.69999999999999929</v>
      </c>
      <c r="P43">
        <f t="shared" si="31"/>
        <v>0.5</v>
      </c>
      <c r="Q43">
        <f t="shared" si="31"/>
        <v>0.30000000000000071</v>
      </c>
      <c r="R43">
        <f t="shared" si="31"/>
        <v>0.59999999999999787</v>
      </c>
      <c r="S43">
        <f t="shared" si="31"/>
        <v>0.59999999999999787</v>
      </c>
      <c r="T43">
        <f t="shared" si="31"/>
        <v>1</v>
      </c>
      <c r="U43">
        <f t="shared" si="31"/>
        <v>0.79999999999999716</v>
      </c>
      <c r="V43">
        <f t="shared" si="31"/>
        <v>0</v>
      </c>
      <c r="W43">
        <f t="shared" si="31"/>
        <v>0.29999999999999716</v>
      </c>
      <c r="X43">
        <f t="shared" si="31"/>
        <v>-0.19999999999999929</v>
      </c>
      <c r="Y43">
        <f t="shared" si="31"/>
        <v>0.60000000000000142</v>
      </c>
      <c r="Z43">
        <f t="shared" si="31"/>
        <v>9.9999999999997868E-2</v>
      </c>
      <c r="AA43">
        <f t="shared" si="31"/>
        <v>0.39999999999999858</v>
      </c>
      <c r="AB43">
        <f t="shared" si="31"/>
        <v>9.9999999999997868E-2</v>
      </c>
      <c r="AC43">
        <f t="shared" si="31"/>
        <v>0.30000000000000071</v>
      </c>
      <c r="AD43">
        <f t="shared" si="31"/>
        <v>0.5</v>
      </c>
      <c r="AE43">
        <f t="shared" si="31"/>
        <v>0.5</v>
      </c>
      <c r="AF43">
        <f t="shared" si="31"/>
        <v>0.29999999999999716</v>
      </c>
      <c r="AG43">
        <f t="shared" si="31"/>
        <v>-0.30000000000000071</v>
      </c>
      <c r="AH43">
        <f t="shared" si="31"/>
        <v>0.29999999999999716</v>
      </c>
      <c r="AI43">
        <f t="shared" si="31"/>
        <v>0.30000000000000071</v>
      </c>
      <c r="AJ43">
        <f t="shared" si="31"/>
        <v>0.40000000000000213</v>
      </c>
      <c r="AK43">
        <f t="shared" si="31"/>
        <v>1.3999999999999986</v>
      </c>
      <c r="AL43">
        <f t="shared" si="31"/>
        <v>0.40000000000000213</v>
      </c>
      <c r="AM43">
        <f t="shared" si="31"/>
        <v>9.9999999999997868E-2</v>
      </c>
      <c r="AN43">
        <f t="shared" si="31"/>
        <v>0.69999999999999929</v>
      </c>
      <c r="AO43">
        <f t="shared" si="31"/>
        <v>0.60000000000000142</v>
      </c>
      <c r="AP43">
        <f t="shared" si="31"/>
        <v>9.9999999999997868E-2</v>
      </c>
      <c r="AQ43">
        <f t="shared" si="31"/>
        <v>0.30000000000000071</v>
      </c>
      <c r="AR43">
        <f t="shared" si="31"/>
        <v>-0.60000000000000142</v>
      </c>
      <c r="AS43">
        <f t="shared" si="31"/>
        <v>0.19999999999999929</v>
      </c>
      <c r="AT43" s="3">
        <f>MIN(M43:AS43)</f>
        <v>-0.69999999999999929</v>
      </c>
      <c r="AU43" s="3">
        <f>MAX(M43:AS43)</f>
        <v>1.3999999999999986</v>
      </c>
      <c r="AV43" s="3">
        <f>AVERAGE(M43:AS43)</f>
        <v>0.30909090909090864</v>
      </c>
    </row>
    <row r="44" spans="1:48" x14ac:dyDescent="0.15">
      <c r="A44" s="6" t="s">
        <v>40</v>
      </c>
      <c r="B44" s="3">
        <f t="shared" ref="B44:G44" si="32">B43/B41*100</f>
        <v>0.38910505836575876</v>
      </c>
      <c r="C44" s="3">
        <f t="shared" si="32"/>
        <v>0.77972709551656916</v>
      </c>
      <c r="D44" s="3">
        <f t="shared" si="32"/>
        <v>2.1696252465483234</v>
      </c>
      <c r="E44" s="3">
        <f t="shared" si="32"/>
        <v>0.6</v>
      </c>
      <c r="F44" s="3">
        <f t="shared" si="32"/>
        <v>-0.19960079840319359</v>
      </c>
      <c r="G44" s="3">
        <f t="shared" si="32"/>
        <v>1.3618677042801557</v>
      </c>
      <c r="H44" s="3">
        <f>MIN(B44:G44)</f>
        <v>-0.19960079840319359</v>
      </c>
      <c r="I44" s="3">
        <f>MAX(B44:G44)</f>
        <v>2.1696252465483234</v>
      </c>
      <c r="J44" s="7">
        <f>AVERAGE(B44:G44)</f>
        <v>0.85012071771793563</v>
      </c>
      <c r="M44" s="3">
        <f t="shared" ref="M44:AS44" si="33">M43/M41*100</f>
        <v>0.34482758620690146</v>
      </c>
      <c r="N44" s="3">
        <f t="shared" si="33"/>
        <v>0.68728522336770725</v>
      </c>
      <c r="O44" s="3">
        <f t="shared" si="33"/>
        <v>-2.4999999999999973</v>
      </c>
      <c r="P44" s="3">
        <f t="shared" si="33"/>
        <v>1.6949152542372881</v>
      </c>
      <c r="Q44" s="3">
        <f t="shared" si="33"/>
        <v>1.0169491525423753</v>
      </c>
      <c r="R44" s="3">
        <f t="shared" si="33"/>
        <v>2.0408163265306052</v>
      </c>
      <c r="S44" s="3">
        <f t="shared" si="33"/>
        <v>2.0408163265306052</v>
      </c>
      <c r="T44" s="3">
        <f t="shared" si="33"/>
        <v>3.3670033670033668</v>
      </c>
      <c r="U44" s="3">
        <f t="shared" si="33"/>
        <v>2.7681660899653884</v>
      </c>
      <c r="V44" s="3">
        <f t="shared" si="33"/>
        <v>0</v>
      </c>
      <c r="W44" s="3">
        <f t="shared" si="33"/>
        <v>1.075268817204291</v>
      </c>
      <c r="X44" s="3">
        <f t="shared" si="33"/>
        <v>-0.69930069930069683</v>
      </c>
      <c r="Y44" s="3">
        <f t="shared" si="33"/>
        <v>2.0618556701030974</v>
      </c>
      <c r="Z44" s="3">
        <f t="shared" si="33"/>
        <v>0.34843205574912151</v>
      </c>
      <c r="AA44" s="3">
        <f t="shared" si="33"/>
        <v>1.3559322033898256</v>
      </c>
      <c r="AB44" s="3">
        <f t="shared" si="33"/>
        <v>0.35211267605633051</v>
      </c>
      <c r="AC44" s="3">
        <f t="shared" si="33"/>
        <v>1.0344827586206922</v>
      </c>
      <c r="AD44" s="3">
        <f t="shared" si="33"/>
        <v>1.7123287671232876</v>
      </c>
      <c r="AE44" s="3">
        <f t="shared" si="33"/>
        <v>1.689189189189189</v>
      </c>
      <c r="AF44" s="3">
        <f t="shared" si="33"/>
        <v>1.0204081632652966</v>
      </c>
      <c r="AG44" s="3">
        <f t="shared" si="33"/>
        <v>-1.0380622837370268</v>
      </c>
      <c r="AH44" s="3">
        <f t="shared" si="33"/>
        <v>1.0380622837370144</v>
      </c>
      <c r="AI44" s="3">
        <f t="shared" si="33"/>
        <v>1.0309278350515487</v>
      </c>
      <c r="AJ44" s="3">
        <f t="shared" si="33"/>
        <v>1.3888888888888962</v>
      </c>
      <c r="AK44" s="3">
        <f t="shared" si="33"/>
        <v>4.7619047619047574</v>
      </c>
      <c r="AL44" s="3">
        <f t="shared" si="33"/>
        <v>1.3745704467354025</v>
      </c>
      <c r="AM44" s="3">
        <f t="shared" si="33"/>
        <v>0.34013605442176142</v>
      </c>
      <c r="AN44" s="3">
        <f t="shared" si="33"/>
        <v>2.3890784982935127</v>
      </c>
      <c r="AO44" s="3">
        <f t="shared" si="33"/>
        <v>2.047781569965875</v>
      </c>
      <c r="AP44" s="3">
        <f t="shared" si="33"/>
        <v>0.34602076124566739</v>
      </c>
      <c r="AQ44" s="3">
        <f t="shared" si="33"/>
        <v>1.0273972602739752</v>
      </c>
      <c r="AR44" s="3">
        <f t="shared" si="33"/>
        <v>-2.1428571428571481</v>
      </c>
      <c r="AS44" s="3">
        <f t="shared" si="33"/>
        <v>0.7017543859649098</v>
      </c>
      <c r="AT44" s="3">
        <f>MIN(M44:AS44)</f>
        <v>-2.4999999999999973</v>
      </c>
      <c r="AU44" s="3">
        <f>MAX(M44:AS44)</f>
        <v>4.7619047619047574</v>
      </c>
      <c r="AV44" s="7">
        <f>AVERAGE(M44:AS44)</f>
        <v>1.0508209772022372</v>
      </c>
    </row>
    <row r="45" spans="1:48" x14ac:dyDescent="0.15">
      <c r="A45" s="6" t="s">
        <v>41</v>
      </c>
      <c r="B45" s="3">
        <f t="shared" ref="B45:G45" si="34">B43/B42*100</f>
        <v>0.390625</v>
      </c>
      <c r="C45" s="3">
        <f t="shared" si="34"/>
        <v>0.78585461689587421</v>
      </c>
      <c r="D45" s="3">
        <f t="shared" si="34"/>
        <v>2.217741935483871</v>
      </c>
      <c r="E45" s="3">
        <f t="shared" si="34"/>
        <v>0.60362173038229372</v>
      </c>
      <c r="F45" s="3">
        <f t="shared" si="34"/>
        <v>-0.19920318725099601</v>
      </c>
      <c r="G45" s="3">
        <f t="shared" si="34"/>
        <v>1.3806706114398422</v>
      </c>
      <c r="H45" s="3">
        <f>MIN(B45:G45)</f>
        <v>-0.19920318725099601</v>
      </c>
      <c r="I45" s="3">
        <f>MAX(B45:G45)</f>
        <v>2.217741935483871</v>
      </c>
      <c r="J45" s="7">
        <f>AVERAGE(B45:G45)</f>
        <v>0.86321845115848095</v>
      </c>
      <c r="M45" s="3">
        <f t="shared" ref="M45:AS45" si="35">M43/M42*100</f>
        <v>0.34602076124567971</v>
      </c>
      <c r="N45" s="3">
        <f t="shared" si="35"/>
        <v>0.69204152249135942</v>
      </c>
      <c r="O45" s="3">
        <f t="shared" si="35"/>
        <v>-2.4390243902439002</v>
      </c>
      <c r="P45" s="3">
        <f t="shared" si="35"/>
        <v>1.7241379310344827</v>
      </c>
      <c r="Q45" s="3">
        <f t="shared" si="35"/>
        <v>1.0273972602739752</v>
      </c>
      <c r="R45" s="3">
        <f t="shared" si="35"/>
        <v>2.0833333333333259</v>
      </c>
      <c r="S45" s="3">
        <f t="shared" si="35"/>
        <v>2.0833333333333259</v>
      </c>
      <c r="T45" s="3">
        <f t="shared" si="35"/>
        <v>3.484320557491289</v>
      </c>
      <c r="U45" s="3">
        <f t="shared" si="35"/>
        <v>2.8469750889679615</v>
      </c>
      <c r="V45" s="3">
        <f t="shared" si="35"/>
        <v>0</v>
      </c>
      <c r="W45" s="3">
        <f t="shared" si="35"/>
        <v>1.0869565217391199</v>
      </c>
      <c r="X45" s="3">
        <f t="shared" si="35"/>
        <v>-0.69444444444444198</v>
      </c>
      <c r="Y45" s="3">
        <f t="shared" si="35"/>
        <v>2.1052631578947421</v>
      </c>
      <c r="Z45" s="3">
        <f t="shared" si="35"/>
        <v>0.3496503496503422</v>
      </c>
      <c r="AA45" s="3">
        <f t="shared" si="35"/>
        <v>1.3745704467353903</v>
      </c>
      <c r="AB45" s="3">
        <f t="shared" si="35"/>
        <v>0.35335689045935642</v>
      </c>
      <c r="AC45" s="3">
        <f t="shared" si="35"/>
        <v>1.0452961672473893</v>
      </c>
      <c r="AD45" s="3">
        <f t="shared" si="35"/>
        <v>1.7421602787456445</v>
      </c>
      <c r="AE45" s="3">
        <f t="shared" si="35"/>
        <v>1.7182130584192439</v>
      </c>
      <c r="AF45" s="3">
        <f t="shared" si="35"/>
        <v>1.0309278350515367</v>
      </c>
      <c r="AG45" s="3">
        <f t="shared" si="35"/>
        <v>-1.0273972602739752</v>
      </c>
      <c r="AH45" s="3">
        <f t="shared" si="35"/>
        <v>1.048951048951039</v>
      </c>
      <c r="AI45" s="3">
        <f t="shared" si="35"/>
        <v>1.041666666666669</v>
      </c>
      <c r="AJ45" s="3">
        <f t="shared" si="35"/>
        <v>1.4084507042253596</v>
      </c>
      <c r="AK45" s="3">
        <f t="shared" si="35"/>
        <v>4.9999999999999947</v>
      </c>
      <c r="AL45" s="3">
        <f t="shared" si="35"/>
        <v>1.3937282229965231</v>
      </c>
      <c r="AM45" s="3">
        <f t="shared" si="35"/>
        <v>0.34129692832763775</v>
      </c>
      <c r="AN45" s="3">
        <f t="shared" si="35"/>
        <v>2.4475524475524448</v>
      </c>
      <c r="AO45" s="3">
        <f t="shared" si="35"/>
        <v>2.0905923344947785</v>
      </c>
      <c r="AP45" s="3">
        <f t="shared" si="35"/>
        <v>0.34722222222221483</v>
      </c>
      <c r="AQ45" s="3">
        <f t="shared" si="35"/>
        <v>1.0380622837370268</v>
      </c>
      <c r="AR45" s="3">
        <f t="shared" si="35"/>
        <v>-2.0979020979021028</v>
      </c>
      <c r="AS45" s="3">
        <f t="shared" si="35"/>
        <v>0.70671378091872539</v>
      </c>
      <c r="AT45" s="3">
        <f>MIN(M45:AS45)</f>
        <v>-2.4390243902439002</v>
      </c>
      <c r="AU45" s="3">
        <f>MAX(M45:AS45)</f>
        <v>4.9999999999999947</v>
      </c>
      <c r="AV45" s="7">
        <f>AVERAGE(M45:AS45)</f>
        <v>1.0818006951921866</v>
      </c>
    </row>
    <row r="46" spans="1:48" x14ac:dyDescent="0.15">
      <c r="H46" s="2"/>
      <c r="I46" s="2"/>
      <c r="J46" s="2"/>
      <c r="K46" s="2"/>
      <c r="L46" s="2"/>
      <c r="AT46" s="2"/>
      <c r="AU46" s="2"/>
      <c r="AV46" s="2"/>
    </row>
    <row r="53" spans="1:48" x14ac:dyDescent="0.15">
      <c r="A53" s="1" t="s">
        <v>0</v>
      </c>
      <c r="B53" s="2" t="s">
        <v>1</v>
      </c>
      <c r="C53" s="2" t="s">
        <v>2</v>
      </c>
      <c r="D53" s="2" t="s">
        <v>1</v>
      </c>
      <c r="E53" s="2" t="s">
        <v>2</v>
      </c>
      <c r="F53" s="2" t="s">
        <v>1</v>
      </c>
      <c r="G53" s="2" t="s">
        <v>2</v>
      </c>
      <c r="M53" s="2" t="s">
        <v>3</v>
      </c>
      <c r="N53" s="2" t="s">
        <v>4</v>
      </c>
      <c r="O53" s="2" t="s">
        <v>5</v>
      </c>
      <c r="P53" s="2" t="s">
        <v>6</v>
      </c>
      <c r="Q53" s="2" t="s">
        <v>7</v>
      </c>
      <c r="R53" s="2" t="s">
        <v>8</v>
      </c>
      <c r="S53" s="2" t="s">
        <v>9</v>
      </c>
      <c r="T53" s="2" t="s">
        <v>10</v>
      </c>
      <c r="U53" s="2" t="s">
        <v>11</v>
      </c>
      <c r="V53" s="2" t="s">
        <v>12</v>
      </c>
      <c r="W53" s="2" t="s">
        <v>13</v>
      </c>
      <c r="X53" s="2" t="s">
        <v>3</v>
      </c>
      <c r="Y53" s="2" t="s">
        <v>4</v>
      </c>
      <c r="Z53" s="2" t="s">
        <v>5</v>
      </c>
      <c r="AA53" s="2" t="s">
        <v>6</v>
      </c>
      <c r="AB53" s="2" t="s">
        <v>7</v>
      </c>
      <c r="AC53" s="2" t="s">
        <v>8</v>
      </c>
      <c r="AD53" s="2" t="s">
        <v>9</v>
      </c>
      <c r="AE53" s="2" t="s">
        <v>10</v>
      </c>
      <c r="AF53" s="2" t="s">
        <v>11</v>
      </c>
      <c r="AG53" s="2" t="s">
        <v>12</v>
      </c>
      <c r="AH53" s="2" t="s">
        <v>13</v>
      </c>
      <c r="AI53" s="2" t="s">
        <v>3</v>
      </c>
      <c r="AJ53" s="2" t="s">
        <v>4</v>
      </c>
      <c r="AK53" s="2" t="s">
        <v>5</v>
      </c>
      <c r="AL53" s="2" t="s">
        <v>6</v>
      </c>
      <c r="AM53" s="2" t="s">
        <v>7</v>
      </c>
      <c r="AN53" s="2" t="s">
        <v>8</v>
      </c>
      <c r="AO53" s="2" t="s">
        <v>9</v>
      </c>
      <c r="AP53" s="2" t="s">
        <v>10</v>
      </c>
      <c r="AQ53" s="2" t="s">
        <v>11</v>
      </c>
      <c r="AR53" s="2" t="s">
        <v>12</v>
      </c>
      <c r="AS53" s="2" t="s">
        <v>13</v>
      </c>
    </row>
    <row r="54" spans="1:48" x14ac:dyDescent="0.15">
      <c r="A54" s="5" t="s">
        <v>38</v>
      </c>
    </row>
    <row r="55" spans="1:48" x14ac:dyDescent="0.15">
      <c r="A55" s="1" t="s">
        <v>29</v>
      </c>
      <c r="B55" s="3">
        <v>462</v>
      </c>
      <c r="C55" s="3">
        <v>457</v>
      </c>
      <c r="D55" s="3">
        <v>475</v>
      </c>
      <c r="E55" s="3">
        <v>483</v>
      </c>
      <c r="F55" s="3">
        <v>456</v>
      </c>
      <c r="G55" s="3">
        <v>409</v>
      </c>
      <c r="H55" s="3">
        <f>MIN(B55:G55)</f>
        <v>409</v>
      </c>
      <c r="I55" s="3">
        <f>MAX(B55:G55)</f>
        <v>483</v>
      </c>
      <c r="J55" s="3">
        <f>AVERAGE(B55:G55)</f>
        <v>457</v>
      </c>
      <c r="M55" s="3">
        <v>200</v>
      </c>
      <c r="N55" s="3">
        <v>198</v>
      </c>
      <c r="O55" s="3">
        <v>194</v>
      </c>
      <c r="P55" s="3">
        <v>205</v>
      </c>
      <c r="Q55" s="3">
        <v>198</v>
      </c>
      <c r="R55" s="3">
        <v>196</v>
      </c>
      <c r="S55" s="3">
        <v>201</v>
      </c>
      <c r="T55" s="3">
        <v>206</v>
      </c>
      <c r="U55" s="3">
        <v>201</v>
      </c>
      <c r="V55" s="3">
        <v>196</v>
      </c>
      <c r="W55" s="3">
        <v>198</v>
      </c>
      <c r="X55" s="3">
        <v>196</v>
      </c>
      <c r="Y55" s="3">
        <v>197</v>
      </c>
      <c r="Z55" s="3">
        <v>196</v>
      </c>
      <c r="AA55" s="3">
        <v>203</v>
      </c>
      <c r="AB55" s="3">
        <v>188</v>
      </c>
      <c r="AC55" s="3">
        <v>192</v>
      </c>
      <c r="AD55" s="3">
        <v>199</v>
      </c>
      <c r="AE55" s="3">
        <v>205</v>
      </c>
      <c r="AF55" s="3">
        <v>201</v>
      </c>
      <c r="AG55" s="3">
        <v>204</v>
      </c>
      <c r="AH55" s="3">
        <v>195</v>
      </c>
      <c r="AI55" s="3">
        <v>195</v>
      </c>
      <c r="AJ55" s="3">
        <v>197</v>
      </c>
      <c r="AK55" s="3">
        <v>196</v>
      </c>
      <c r="AL55" s="3">
        <v>197</v>
      </c>
      <c r="AM55" s="3">
        <v>196</v>
      </c>
      <c r="AN55" s="3">
        <v>206</v>
      </c>
      <c r="AO55" s="3">
        <v>201</v>
      </c>
      <c r="AP55" s="3">
        <v>192</v>
      </c>
      <c r="AQ55" s="3">
        <v>198</v>
      </c>
      <c r="AR55" s="3">
        <v>198</v>
      </c>
      <c r="AS55" s="3">
        <v>194</v>
      </c>
      <c r="AT55" s="3">
        <f>MIN(M55:AS55)</f>
        <v>188</v>
      </c>
      <c r="AU55" s="3">
        <f>MAX(M55:AS55)</f>
        <v>206</v>
      </c>
      <c r="AV55" s="3">
        <f>AVERAGE(M55:AS55)</f>
        <v>198.15151515151516</v>
      </c>
    </row>
    <row r="56" spans="1:48" x14ac:dyDescent="0.15">
      <c r="A56" s="1" t="s">
        <v>29</v>
      </c>
      <c r="B56" s="3">
        <v>284</v>
      </c>
      <c r="C56" s="3">
        <v>279</v>
      </c>
      <c r="D56" s="3">
        <v>284</v>
      </c>
      <c r="E56" s="3">
        <v>286</v>
      </c>
      <c r="F56" s="3">
        <v>287</v>
      </c>
      <c r="G56" s="3">
        <v>289</v>
      </c>
      <c r="H56" s="3">
        <f>MIN(B56:G56)</f>
        <v>279</v>
      </c>
      <c r="I56" s="3">
        <f>MAX(B56:G56)</f>
        <v>289</v>
      </c>
      <c r="J56" s="3">
        <f>AVERAGE(B56:G56)</f>
        <v>284.83333333333331</v>
      </c>
      <c r="M56" s="3">
        <v>188</v>
      </c>
      <c r="N56" s="3">
        <v>194</v>
      </c>
      <c r="O56" s="3">
        <v>178</v>
      </c>
      <c r="P56" s="3">
        <v>202</v>
      </c>
      <c r="Q56" s="3">
        <v>193</v>
      </c>
      <c r="R56" s="3">
        <v>181</v>
      </c>
      <c r="S56" s="3">
        <v>198</v>
      </c>
      <c r="T56" s="3">
        <v>203</v>
      </c>
      <c r="U56" s="3">
        <v>198</v>
      </c>
      <c r="V56" s="3">
        <v>188</v>
      </c>
      <c r="W56" s="3">
        <v>195</v>
      </c>
      <c r="X56" s="3">
        <v>194</v>
      </c>
      <c r="Y56" s="3">
        <v>194</v>
      </c>
      <c r="Z56" s="3">
        <v>173</v>
      </c>
      <c r="AA56" s="3">
        <v>202</v>
      </c>
      <c r="AB56" s="3">
        <v>189</v>
      </c>
      <c r="AC56" s="3">
        <v>191</v>
      </c>
      <c r="AD56" s="3">
        <v>196</v>
      </c>
      <c r="AE56" s="3">
        <v>202</v>
      </c>
      <c r="AF56" s="3">
        <v>200</v>
      </c>
      <c r="AG56" s="3">
        <v>199</v>
      </c>
      <c r="AH56" s="3">
        <v>193</v>
      </c>
      <c r="AI56" s="3">
        <v>193</v>
      </c>
      <c r="AJ56" s="3">
        <v>195</v>
      </c>
      <c r="AK56" s="3">
        <v>194</v>
      </c>
      <c r="AL56" s="3">
        <v>188</v>
      </c>
      <c r="AM56" s="3">
        <v>193</v>
      </c>
      <c r="AN56" s="3">
        <v>203</v>
      </c>
      <c r="AO56" s="3">
        <v>199</v>
      </c>
      <c r="AP56" s="3">
        <v>191</v>
      </c>
      <c r="AQ56" s="3">
        <v>196</v>
      </c>
      <c r="AR56" s="3">
        <v>195</v>
      </c>
      <c r="AS56" s="3">
        <v>194</v>
      </c>
      <c r="AT56" s="3">
        <f>MIN(M56:AS56)</f>
        <v>173</v>
      </c>
      <c r="AU56" s="3">
        <f>MAX(M56:AS56)</f>
        <v>203</v>
      </c>
      <c r="AV56" s="3">
        <f>AVERAGE(M56:AS56)</f>
        <v>193.69696969696969</v>
      </c>
    </row>
    <row r="57" spans="1:48" x14ac:dyDescent="0.15">
      <c r="A57" s="6" t="s">
        <v>39</v>
      </c>
      <c r="B57" s="3">
        <f t="shared" ref="B57:G57" si="36">B55-B56</f>
        <v>178</v>
      </c>
      <c r="C57" s="3">
        <f t="shared" si="36"/>
        <v>178</v>
      </c>
      <c r="D57" s="3">
        <f t="shared" si="36"/>
        <v>191</v>
      </c>
      <c r="E57" s="3">
        <f t="shared" si="36"/>
        <v>197</v>
      </c>
      <c r="F57" s="3">
        <f t="shared" si="36"/>
        <v>169</v>
      </c>
      <c r="G57" s="3">
        <f t="shared" si="36"/>
        <v>120</v>
      </c>
      <c r="H57" s="3">
        <f>MIN(B57:G57)</f>
        <v>120</v>
      </c>
      <c r="I57" s="3">
        <f>MAX(B57:G57)</f>
        <v>197</v>
      </c>
      <c r="J57" s="3">
        <f>AVERAGE(B57:G57)</f>
        <v>172.16666666666666</v>
      </c>
      <c r="M57" s="3">
        <f t="shared" ref="M57:AS57" si="37">M55-M56</f>
        <v>12</v>
      </c>
      <c r="N57" s="3">
        <f t="shared" si="37"/>
        <v>4</v>
      </c>
      <c r="O57" s="3">
        <f t="shared" si="37"/>
        <v>16</v>
      </c>
      <c r="P57" s="3">
        <f t="shared" si="37"/>
        <v>3</v>
      </c>
      <c r="Q57" s="3">
        <f t="shared" si="37"/>
        <v>5</v>
      </c>
      <c r="R57" s="3">
        <f t="shared" si="37"/>
        <v>15</v>
      </c>
      <c r="S57" s="3">
        <f t="shared" si="37"/>
        <v>3</v>
      </c>
      <c r="T57" s="3">
        <f t="shared" si="37"/>
        <v>3</v>
      </c>
      <c r="U57" s="3">
        <f t="shared" si="37"/>
        <v>3</v>
      </c>
      <c r="V57" s="3">
        <f t="shared" si="37"/>
        <v>8</v>
      </c>
      <c r="W57" s="3">
        <f t="shared" si="37"/>
        <v>3</v>
      </c>
      <c r="X57" s="3">
        <f t="shared" si="37"/>
        <v>2</v>
      </c>
      <c r="Y57" s="3">
        <f t="shared" si="37"/>
        <v>3</v>
      </c>
      <c r="Z57" s="3">
        <f t="shared" si="37"/>
        <v>23</v>
      </c>
      <c r="AA57" s="3">
        <f t="shared" si="37"/>
        <v>1</v>
      </c>
      <c r="AB57" s="3">
        <f t="shared" si="37"/>
        <v>-1</v>
      </c>
      <c r="AC57" s="3">
        <f t="shared" si="37"/>
        <v>1</v>
      </c>
      <c r="AD57" s="3">
        <f t="shared" si="37"/>
        <v>3</v>
      </c>
      <c r="AE57" s="3">
        <f t="shared" si="37"/>
        <v>3</v>
      </c>
      <c r="AF57" s="3">
        <f t="shared" si="37"/>
        <v>1</v>
      </c>
      <c r="AG57" s="3">
        <f t="shared" si="37"/>
        <v>5</v>
      </c>
      <c r="AH57" s="3">
        <f t="shared" si="37"/>
        <v>2</v>
      </c>
      <c r="AI57" s="3">
        <f t="shared" si="37"/>
        <v>2</v>
      </c>
      <c r="AJ57" s="3">
        <f t="shared" si="37"/>
        <v>2</v>
      </c>
      <c r="AK57" s="3">
        <f t="shared" si="37"/>
        <v>2</v>
      </c>
      <c r="AL57" s="3">
        <f t="shared" si="37"/>
        <v>9</v>
      </c>
      <c r="AM57" s="3">
        <f t="shared" si="37"/>
        <v>3</v>
      </c>
      <c r="AN57" s="3">
        <f t="shared" si="37"/>
        <v>3</v>
      </c>
      <c r="AO57" s="3">
        <f t="shared" si="37"/>
        <v>2</v>
      </c>
      <c r="AP57" s="3">
        <f t="shared" si="37"/>
        <v>1</v>
      </c>
      <c r="AQ57" s="3">
        <f t="shared" si="37"/>
        <v>2</v>
      </c>
      <c r="AR57" s="3">
        <f t="shared" si="37"/>
        <v>3</v>
      </c>
      <c r="AS57" s="3">
        <f t="shared" si="37"/>
        <v>0</v>
      </c>
      <c r="AT57" s="3">
        <f>MIN(M57:AS57)</f>
        <v>-1</v>
      </c>
      <c r="AU57" s="3">
        <f>MAX(M57:AS57)</f>
        <v>23</v>
      </c>
      <c r="AV57" s="3">
        <f>AVERAGE(M57:AS57)</f>
        <v>4.4545454545454541</v>
      </c>
    </row>
    <row r="58" spans="1:48" x14ac:dyDescent="0.15">
      <c r="A58" s="6" t="s">
        <v>40</v>
      </c>
      <c r="B58" s="3">
        <f t="shared" ref="B58:G58" si="38">B57/B55*100</f>
        <v>38.528138528138527</v>
      </c>
      <c r="C58" s="3">
        <f t="shared" si="38"/>
        <v>38.949671772428886</v>
      </c>
      <c r="D58" s="3">
        <f t="shared" si="38"/>
        <v>40.210526315789473</v>
      </c>
      <c r="E58" s="3">
        <f t="shared" si="38"/>
        <v>40.78674948240166</v>
      </c>
      <c r="F58" s="3">
        <f t="shared" si="38"/>
        <v>37.061403508771932</v>
      </c>
      <c r="G58" s="3">
        <f t="shared" si="38"/>
        <v>29.339853300733498</v>
      </c>
      <c r="H58" s="3">
        <f>MIN(B58:G58)</f>
        <v>29.339853300733498</v>
      </c>
      <c r="I58" s="3">
        <f>MAX(B58:G58)</f>
        <v>40.78674948240166</v>
      </c>
      <c r="J58" s="7">
        <f>AVERAGE(B58:G58)</f>
        <v>37.479390484710663</v>
      </c>
      <c r="M58" s="3">
        <f t="shared" ref="M58:AS58" si="39">M57/M55*100</f>
        <v>6</v>
      </c>
      <c r="N58" s="3">
        <f t="shared" si="39"/>
        <v>2.0202020202020203</v>
      </c>
      <c r="O58" s="3">
        <f t="shared" si="39"/>
        <v>8.2474226804123703</v>
      </c>
      <c r="P58" s="3">
        <f t="shared" si="39"/>
        <v>1.4634146341463417</v>
      </c>
      <c r="Q58" s="3">
        <f t="shared" si="39"/>
        <v>2.5252525252525251</v>
      </c>
      <c r="R58" s="3">
        <f t="shared" si="39"/>
        <v>7.6530612244897958</v>
      </c>
      <c r="S58" s="3">
        <f t="shared" si="39"/>
        <v>1.4925373134328357</v>
      </c>
      <c r="T58" s="3">
        <f t="shared" si="39"/>
        <v>1.4563106796116505</v>
      </c>
      <c r="U58" s="3">
        <f t="shared" si="39"/>
        <v>1.4925373134328357</v>
      </c>
      <c r="V58" s="3">
        <f t="shared" si="39"/>
        <v>4.0816326530612246</v>
      </c>
      <c r="W58" s="3">
        <f t="shared" si="39"/>
        <v>1.5151515151515151</v>
      </c>
      <c r="X58" s="3">
        <f t="shared" si="39"/>
        <v>1.0204081632653061</v>
      </c>
      <c r="Y58" s="3">
        <f t="shared" si="39"/>
        <v>1.5228426395939088</v>
      </c>
      <c r="Z58" s="3">
        <f t="shared" si="39"/>
        <v>11.73469387755102</v>
      </c>
      <c r="AA58" s="3">
        <f t="shared" si="39"/>
        <v>0.49261083743842365</v>
      </c>
      <c r="AB58" s="3">
        <f t="shared" si="39"/>
        <v>-0.53191489361702127</v>
      </c>
      <c r="AC58" s="3">
        <f t="shared" si="39"/>
        <v>0.52083333333333326</v>
      </c>
      <c r="AD58" s="3">
        <f t="shared" si="39"/>
        <v>1.5075376884422109</v>
      </c>
      <c r="AE58" s="3">
        <f t="shared" si="39"/>
        <v>1.4634146341463417</v>
      </c>
      <c r="AF58" s="3">
        <f t="shared" si="39"/>
        <v>0.49751243781094528</v>
      </c>
      <c r="AG58" s="3">
        <f t="shared" si="39"/>
        <v>2.4509803921568629</v>
      </c>
      <c r="AH58" s="3">
        <f t="shared" si="39"/>
        <v>1.0256410256410255</v>
      </c>
      <c r="AI58" s="3">
        <f t="shared" si="39"/>
        <v>1.0256410256410255</v>
      </c>
      <c r="AJ58" s="3">
        <f t="shared" si="39"/>
        <v>1.015228426395939</v>
      </c>
      <c r="AK58" s="3">
        <f t="shared" si="39"/>
        <v>1.0204081632653061</v>
      </c>
      <c r="AL58" s="3">
        <f t="shared" si="39"/>
        <v>4.5685279187817258</v>
      </c>
      <c r="AM58" s="3">
        <f t="shared" si="39"/>
        <v>1.5306122448979591</v>
      </c>
      <c r="AN58" s="3">
        <f t="shared" si="39"/>
        <v>1.4563106796116505</v>
      </c>
      <c r="AO58" s="3">
        <f t="shared" si="39"/>
        <v>0.99502487562189057</v>
      </c>
      <c r="AP58" s="3">
        <f t="shared" si="39"/>
        <v>0.52083333333333326</v>
      </c>
      <c r="AQ58" s="3">
        <f t="shared" si="39"/>
        <v>1.0101010101010102</v>
      </c>
      <c r="AR58" s="3">
        <f t="shared" si="39"/>
        <v>1.5151515151515151</v>
      </c>
      <c r="AS58" s="3">
        <f t="shared" si="39"/>
        <v>0</v>
      </c>
      <c r="AT58" s="3">
        <f>MIN(M58:AS58)</f>
        <v>-0.53191489361702127</v>
      </c>
      <c r="AU58" s="3">
        <f>MAX(M58:AS58)</f>
        <v>11.73469387755102</v>
      </c>
      <c r="AV58" s="7">
        <f>AVERAGE(M58:AS58)</f>
        <v>2.2518158147805099</v>
      </c>
    </row>
    <row r="59" spans="1:48" x14ac:dyDescent="0.15">
      <c r="A59" s="6" t="s">
        <v>41</v>
      </c>
      <c r="B59" s="3">
        <f t="shared" ref="B59:G59" si="40">B57/B56*100</f>
        <v>62.676056338028175</v>
      </c>
      <c r="C59" s="3">
        <f t="shared" si="40"/>
        <v>63.799283154121866</v>
      </c>
      <c r="D59" s="3">
        <f t="shared" si="40"/>
        <v>67.25352112676056</v>
      </c>
      <c r="E59" s="3">
        <f t="shared" si="40"/>
        <v>68.88111888111888</v>
      </c>
      <c r="F59" s="3">
        <f t="shared" si="40"/>
        <v>58.88501742160279</v>
      </c>
      <c r="G59" s="3">
        <f t="shared" si="40"/>
        <v>41.522491349480966</v>
      </c>
      <c r="H59" s="3">
        <f>MIN(B59:G59)</f>
        <v>41.522491349480966</v>
      </c>
      <c r="I59" s="3">
        <f>MAX(B59:G59)</f>
        <v>68.88111888111888</v>
      </c>
      <c r="J59" s="7">
        <f>AVERAGE(B59:G59)</f>
        <v>60.502914711852206</v>
      </c>
      <c r="M59" s="3">
        <f t="shared" ref="M59:AS59" si="41">M57/M56*100</f>
        <v>6.3829787234042552</v>
      </c>
      <c r="N59" s="3">
        <f t="shared" si="41"/>
        <v>2.0618556701030926</v>
      </c>
      <c r="O59" s="3">
        <f t="shared" si="41"/>
        <v>8.9887640449438209</v>
      </c>
      <c r="P59" s="3">
        <f t="shared" si="41"/>
        <v>1.4851485148514851</v>
      </c>
      <c r="Q59" s="3">
        <f t="shared" si="41"/>
        <v>2.5906735751295336</v>
      </c>
      <c r="R59" s="3">
        <f t="shared" si="41"/>
        <v>8.2872928176795568</v>
      </c>
      <c r="S59" s="3">
        <f t="shared" si="41"/>
        <v>1.5151515151515151</v>
      </c>
      <c r="T59" s="3">
        <f t="shared" si="41"/>
        <v>1.4778325123152709</v>
      </c>
      <c r="U59" s="3">
        <f t="shared" si="41"/>
        <v>1.5151515151515151</v>
      </c>
      <c r="V59" s="3">
        <f t="shared" si="41"/>
        <v>4.2553191489361701</v>
      </c>
      <c r="W59" s="3">
        <f t="shared" si="41"/>
        <v>1.5384615384615385</v>
      </c>
      <c r="X59" s="3">
        <f t="shared" si="41"/>
        <v>1.0309278350515463</v>
      </c>
      <c r="Y59" s="3">
        <f t="shared" si="41"/>
        <v>1.5463917525773196</v>
      </c>
      <c r="Z59" s="3">
        <f t="shared" si="41"/>
        <v>13.294797687861271</v>
      </c>
      <c r="AA59" s="3">
        <f t="shared" si="41"/>
        <v>0.49504950495049505</v>
      </c>
      <c r="AB59" s="3">
        <f t="shared" si="41"/>
        <v>-0.52910052910052907</v>
      </c>
      <c r="AC59" s="3">
        <f t="shared" si="41"/>
        <v>0.52356020942408377</v>
      </c>
      <c r="AD59" s="3">
        <f t="shared" si="41"/>
        <v>1.5306122448979591</v>
      </c>
      <c r="AE59" s="3">
        <f t="shared" si="41"/>
        <v>1.4851485148514851</v>
      </c>
      <c r="AF59" s="3">
        <f t="shared" si="41"/>
        <v>0.5</v>
      </c>
      <c r="AG59" s="3">
        <f t="shared" si="41"/>
        <v>2.512562814070352</v>
      </c>
      <c r="AH59" s="3">
        <f t="shared" si="41"/>
        <v>1.0362694300518136</v>
      </c>
      <c r="AI59" s="3">
        <f t="shared" si="41"/>
        <v>1.0362694300518136</v>
      </c>
      <c r="AJ59" s="3">
        <f t="shared" si="41"/>
        <v>1.0256410256410255</v>
      </c>
      <c r="AK59" s="3">
        <f t="shared" si="41"/>
        <v>1.0309278350515463</v>
      </c>
      <c r="AL59" s="3">
        <f t="shared" si="41"/>
        <v>4.7872340425531918</v>
      </c>
      <c r="AM59" s="3">
        <f t="shared" si="41"/>
        <v>1.5544041450777202</v>
      </c>
      <c r="AN59" s="3">
        <f t="shared" si="41"/>
        <v>1.4778325123152709</v>
      </c>
      <c r="AO59" s="3">
        <f t="shared" si="41"/>
        <v>1.0050251256281406</v>
      </c>
      <c r="AP59" s="3">
        <f t="shared" si="41"/>
        <v>0.52356020942408377</v>
      </c>
      <c r="AQ59" s="3">
        <f t="shared" si="41"/>
        <v>1.0204081632653061</v>
      </c>
      <c r="AR59" s="3">
        <f t="shared" si="41"/>
        <v>1.5384615384615385</v>
      </c>
      <c r="AS59" s="3">
        <f t="shared" si="41"/>
        <v>0</v>
      </c>
      <c r="AT59" s="3">
        <f>MIN(M59:AS59)</f>
        <v>-0.52910052910052907</v>
      </c>
      <c r="AU59" s="3">
        <f>MAX(M59:AS59)</f>
        <v>13.294797687861271</v>
      </c>
      <c r="AV59" s="7">
        <f>AVERAGE(M59:AS59)</f>
        <v>2.3795337293404</v>
      </c>
    </row>
    <row r="60" spans="1:48" x14ac:dyDescent="0.15">
      <c r="B60" s="3"/>
      <c r="C60" s="3"/>
      <c r="D60" s="3"/>
      <c r="E60" s="3"/>
      <c r="F60" s="3"/>
      <c r="G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</row>
    <row r="61" spans="1:48" x14ac:dyDescent="0.15">
      <c r="A61" s="1" t="s">
        <v>30</v>
      </c>
      <c r="B61" s="3">
        <v>467</v>
      </c>
      <c r="C61" s="3">
        <v>462</v>
      </c>
      <c r="D61" s="3">
        <v>484</v>
      </c>
      <c r="E61" s="3">
        <v>490</v>
      </c>
      <c r="F61" s="3">
        <v>464</v>
      </c>
      <c r="G61" s="3">
        <v>413</v>
      </c>
      <c r="H61" s="3">
        <f>MIN(B61:G61)</f>
        <v>413</v>
      </c>
      <c r="I61" s="3">
        <f>MAX(B61:G61)</f>
        <v>490</v>
      </c>
      <c r="J61" s="3">
        <f>AVERAGE(B61:G61)</f>
        <v>463.33333333333331</v>
      </c>
      <c r="M61" s="3">
        <v>203</v>
      </c>
      <c r="N61" s="3">
        <v>201</v>
      </c>
      <c r="O61" s="3">
        <v>196</v>
      </c>
      <c r="P61" s="3">
        <v>205</v>
      </c>
      <c r="Q61" s="3">
        <v>200</v>
      </c>
      <c r="R61" s="3">
        <v>198</v>
      </c>
      <c r="S61" s="3">
        <v>202</v>
      </c>
      <c r="T61" s="3">
        <v>205</v>
      </c>
      <c r="U61" s="3">
        <v>202</v>
      </c>
      <c r="V61" s="3">
        <v>195</v>
      </c>
      <c r="W61" s="3">
        <v>198</v>
      </c>
      <c r="X61" s="3">
        <v>190</v>
      </c>
      <c r="Y61" s="3">
        <v>198</v>
      </c>
      <c r="Z61" s="3">
        <v>177</v>
      </c>
      <c r="AA61" s="3">
        <v>205</v>
      </c>
      <c r="AB61" s="3">
        <v>192</v>
      </c>
      <c r="AC61" s="3">
        <v>194</v>
      </c>
      <c r="AD61" s="3">
        <v>199</v>
      </c>
      <c r="AE61" s="3">
        <v>207</v>
      </c>
      <c r="AF61" s="3">
        <v>201</v>
      </c>
      <c r="AG61" s="3">
        <v>185</v>
      </c>
      <c r="AH61" s="3">
        <v>195</v>
      </c>
      <c r="AI61" s="3">
        <v>197</v>
      </c>
      <c r="AJ61" s="3">
        <v>198</v>
      </c>
      <c r="AK61" s="3">
        <v>198</v>
      </c>
      <c r="AL61" s="3">
        <v>197</v>
      </c>
      <c r="AM61" s="3">
        <v>198</v>
      </c>
      <c r="AN61" s="3">
        <v>190</v>
      </c>
      <c r="AO61" s="3">
        <v>198</v>
      </c>
      <c r="AP61" s="3">
        <v>190</v>
      </c>
      <c r="AQ61" s="3">
        <v>198</v>
      </c>
      <c r="AR61" s="3">
        <v>197</v>
      </c>
      <c r="AS61" s="3">
        <v>194</v>
      </c>
      <c r="AT61" s="3">
        <f>MIN(M61:AS61)</f>
        <v>177</v>
      </c>
      <c r="AU61" s="3">
        <f>MAX(M61:AS61)</f>
        <v>207</v>
      </c>
      <c r="AV61" s="3">
        <f>AVERAGE(M61:AS61)</f>
        <v>197.06060606060606</v>
      </c>
    </row>
    <row r="62" spans="1:48" x14ac:dyDescent="0.15">
      <c r="A62" s="1" t="s">
        <v>30</v>
      </c>
      <c r="B62" s="3">
        <v>257</v>
      </c>
      <c r="C62" s="3">
        <v>249</v>
      </c>
      <c r="D62" s="3">
        <v>253</v>
      </c>
      <c r="E62" s="3">
        <v>254</v>
      </c>
      <c r="F62" s="3">
        <v>255</v>
      </c>
      <c r="G62" s="3">
        <v>255</v>
      </c>
      <c r="H62" s="3">
        <f>MIN(B62:G62)</f>
        <v>249</v>
      </c>
      <c r="I62" s="3">
        <f>MAX(B62:G62)</f>
        <v>257</v>
      </c>
      <c r="J62" s="3">
        <f>AVERAGE(B62:G62)</f>
        <v>253.83333333333334</v>
      </c>
      <c r="M62" s="3">
        <v>198</v>
      </c>
      <c r="N62" s="3">
        <v>196</v>
      </c>
      <c r="O62" s="3">
        <v>193</v>
      </c>
      <c r="P62" s="3">
        <v>202</v>
      </c>
      <c r="Q62" s="3">
        <v>194</v>
      </c>
      <c r="R62" s="3">
        <v>195</v>
      </c>
      <c r="S62" s="3">
        <v>198</v>
      </c>
      <c r="T62" s="3">
        <v>204</v>
      </c>
      <c r="U62" s="3">
        <v>198</v>
      </c>
      <c r="V62" s="3">
        <v>194</v>
      </c>
      <c r="W62" s="3">
        <v>196</v>
      </c>
      <c r="X62" s="3">
        <v>195</v>
      </c>
      <c r="Y62" s="3">
        <v>196</v>
      </c>
      <c r="Z62" s="3">
        <v>192</v>
      </c>
      <c r="AA62" s="3">
        <v>200</v>
      </c>
      <c r="AB62" s="3">
        <v>189</v>
      </c>
      <c r="AC62" s="3">
        <v>191</v>
      </c>
      <c r="AD62" s="3">
        <v>196</v>
      </c>
      <c r="AE62" s="3">
        <v>203</v>
      </c>
      <c r="AF62" s="3">
        <v>194</v>
      </c>
      <c r="AG62" s="3">
        <v>199</v>
      </c>
      <c r="AH62" s="3">
        <v>192</v>
      </c>
      <c r="AI62" s="3">
        <v>194</v>
      </c>
      <c r="AJ62" s="3">
        <v>195</v>
      </c>
      <c r="AK62" s="3">
        <v>189</v>
      </c>
      <c r="AL62" s="3">
        <v>193</v>
      </c>
      <c r="AM62" s="3">
        <v>195</v>
      </c>
      <c r="AN62" s="3">
        <v>202</v>
      </c>
      <c r="AO62" s="3">
        <v>199</v>
      </c>
      <c r="AP62" s="3">
        <v>191</v>
      </c>
      <c r="AQ62" s="3">
        <v>196</v>
      </c>
      <c r="AR62" s="3">
        <v>195</v>
      </c>
      <c r="AS62" s="3">
        <v>192</v>
      </c>
      <c r="AT62" s="3">
        <f>MIN(M62:AS62)</f>
        <v>189</v>
      </c>
      <c r="AU62" s="3">
        <f>MAX(M62:AS62)</f>
        <v>204</v>
      </c>
      <c r="AV62" s="3">
        <f>AVERAGE(M62:AS62)</f>
        <v>195.63636363636363</v>
      </c>
    </row>
    <row r="63" spans="1:48" x14ac:dyDescent="0.15">
      <c r="A63" s="6" t="s">
        <v>39</v>
      </c>
      <c r="B63" s="3">
        <f t="shared" ref="B63:G63" si="42">B61-B62</f>
        <v>210</v>
      </c>
      <c r="C63" s="3">
        <f t="shared" si="42"/>
        <v>213</v>
      </c>
      <c r="D63" s="3">
        <f t="shared" si="42"/>
        <v>231</v>
      </c>
      <c r="E63" s="3">
        <f t="shared" si="42"/>
        <v>236</v>
      </c>
      <c r="F63" s="3">
        <f t="shared" si="42"/>
        <v>209</v>
      </c>
      <c r="G63" s="3">
        <f t="shared" si="42"/>
        <v>158</v>
      </c>
      <c r="H63" s="3">
        <f>MIN(B63:G63)</f>
        <v>158</v>
      </c>
      <c r="I63" s="3">
        <f>MAX(B63:G63)</f>
        <v>236</v>
      </c>
      <c r="J63" s="3">
        <f>AVERAGE(B63:G63)</f>
        <v>209.5</v>
      </c>
      <c r="M63" s="3">
        <f t="shared" ref="M63:AS63" si="43">M61-M62</f>
        <v>5</v>
      </c>
      <c r="N63" s="3">
        <f t="shared" si="43"/>
        <v>5</v>
      </c>
      <c r="O63" s="3">
        <f t="shared" si="43"/>
        <v>3</v>
      </c>
      <c r="P63" s="3">
        <f t="shared" si="43"/>
        <v>3</v>
      </c>
      <c r="Q63" s="3">
        <f t="shared" si="43"/>
        <v>6</v>
      </c>
      <c r="R63" s="3">
        <f t="shared" si="43"/>
        <v>3</v>
      </c>
      <c r="S63" s="3">
        <f t="shared" si="43"/>
        <v>4</v>
      </c>
      <c r="T63" s="3">
        <f t="shared" si="43"/>
        <v>1</v>
      </c>
      <c r="U63" s="3">
        <f t="shared" si="43"/>
        <v>4</v>
      </c>
      <c r="V63" s="3">
        <f t="shared" si="43"/>
        <v>1</v>
      </c>
      <c r="W63" s="3">
        <f t="shared" si="43"/>
        <v>2</v>
      </c>
      <c r="X63" s="3">
        <f t="shared" si="43"/>
        <v>-5</v>
      </c>
      <c r="Y63" s="3">
        <f t="shared" si="43"/>
        <v>2</v>
      </c>
      <c r="Z63" s="3">
        <f t="shared" si="43"/>
        <v>-15</v>
      </c>
      <c r="AA63" s="3">
        <f t="shared" si="43"/>
        <v>5</v>
      </c>
      <c r="AB63" s="3">
        <f t="shared" si="43"/>
        <v>3</v>
      </c>
      <c r="AC63" s="3">
        <f t="shared" si="43"/>
        <v>3</v>
      </c>
      <c r="AD63" s="3">
        <f t="shared" si="43"/>
        <v>3</v>
      </c>
      <c r="AE63" s="3">
        <f t="shared" si="43"/>
        <v>4</v>
      </c>
      <c r="AF63" s="3">
        <f t="shared" si="43"/>
        <v>7</v>
      </c>
      <c r="AG63" s="3">
        <f t="shared" si="43"/>
        <v>-14</v>
      </c>
      <c r="AH63" s="3">
        <f t="shared" si="43"/>
        <v>3</v>
      </c>
      <c r="AI63" s="3">
        <f t="shared" si="43"/>
        <v>3</v>
      </c>
      <c r="AJ63" s="3">
        <f t="shared" si="43"/>
        <v>3</v>
      </c>
      <c r="AK63" s="3">
        <f t="shared" si="43"/>
        <v>9</v>
      </c>
      <c r="AL63" s="3">
        <f t="shared" si="43"/>
        <v>4</v>
      </c>
      <c r="AM63" s="3">
        <f t="shared" si="43"/>
        <v>3</v>
      </c>
      <c r="AN63" s="3">
        <f t="shared" si="43"/>
        <v>-12</v>
      </c>
      <c r="AO63" s="3">
        <f t="shared" si="43"/>
        <v>-1</v>
      </c>
      <c r="AP63" s="3">
        <f t="shared" si="43"/>
        <v>-1</v>
      </c>
      <c r="AQ63" s="3">
        <f t="shared" si="43"/>
        <v>2</v>
      </c>
      <c r="AR63" s="3">
        <f t="shared" si="43"/>
        <v>2</v>
      </c>
      <c r="AS63" s="3">
        <f t="shared" si="43"/>
        <v>2</v>
      </c>
      <c r="AT63" s="3">
        <f>MIN(M63:AS63)</f>
        <v>-15</v>
      </c>
      <c r="AU63" s="3">
        <f>MAX(M63:AS63)</f>
        <v>9</v>
      </c>
      <c r="AV63" s="3">
        <f>AVERAGE(M63:AS63)</f>
        <v>1.4242424242424243</v>
      </c>
    </row>
    <row r="64" spans="1:48" x14ac:dyDescent="0.15">
      <c r="A64" s="6" t="s">
        <v>40</v>
      </c>
      <c r="B64" s="3">
        <f t="shared" ref="B64:G64" si="44">B63/B61*100</f>
        <v>44.967880085653107</v>
      </c>
      <c r="C64" s="3">
        <f t="shared" si="44"/>
        <v>46.103896103896105</v>
      </c>
      <c r="D64" s="3">
        <f t="shared" si="44"/>
        <v>47.727272727272727</v>
      </c>
      <c r="E64" s="3">
        <f t="shared" si="44"/>
        <v>48.163265306122447</v>
      </c>
      <c r="F64" s="3">
        <f t="shared" si="44"/>
        <v>45.043103448275865</v>
      </c>
      <c r="G64" s="3">
        <f t="shared" si="44"/>
        <v>38.256658595641646</v>
      </c>
      <c r="H64" s="3">
        <f>MIN(B64:G64)</f>
        <v>38.256658595641646</v>
      </c>
      <c r="I64" s="3">
        <f>MAX(B64:G64)</f>
        <v>48.163265306122447</v>
      </c>
      <c r="J64" s="7">
        <f>AVERAGE(B64:G64)</f>
        <v>45.043679377810314</v>
      </c>
      <c r="M64" s="3">
        <f t="shared" ref="M64:AS64" si="45">M63/M61*100</f>
        <v>2.4630541871921183</v>
      </c>
      <c r="N64" s="3">
        <f t="shared" si="45"/>
        <v>2.4875621890547266</v>
      </c>
      <c r="O64" s="3">
        <f t="shared" si="45"/>
        <v>1.5306122448979591</v>
      </c>
      <c r="P64" s="3">
        <f t="shared" si="45"/>
        <v>1.4634146341463417</v>
      </c>
      <c r="Q64" s="3">
        <f t="shared" si="45"/>
        <v>3</v>
      </c>
      <c r="R64" s="3">
        <f t="shared" si="45"/>
        <v>1.5151515151515151</v>
      </c>
      <c r="S64" s="3">
        <f t="shared" si="45"/>
        <v>1.9801980198019802</v>
      </c>
      <c r="T64" s="3">
        <f t="shared" si="45"/>
        <v>0.48780487804878048</v>
      </c>
      <c r="U64" s="3">
        <f t="shared" si="45"/>
        <v>1.9801980198019802</v>
      </c>
      <c r="V64" s="3">
        <f t="shared" si="45"/>
        <v>0.51282051282051277</v>
      </c>
      <c r="W64" s="3">
        <f t="shared" si="45"/>
        <v>1.0101010101010102</v>
      </c>
      <c r="X64" s="3">
        <f t="shared" si="45"/>
        <v>-2.6315789473684208</v>
      </c>
      <c r="Y64" s="3">
        <f t="shared" si="45"/>
        <v>1.0101010101010102</v>
      </c>
      <c r="Z64" s="3">
        <f t="shared" si="45"/>
        <v>-8.4745762711864394</v>
      </c>
      <c r="AA64" s="3">
        <f t="shared" si="45"/>
        <v>2.4390243902439024</v>
      </c>
      <c r="AB64" s="3">
        <f t="shared" si="45"/>
        <v>1.5625</v>
      </c>
      <c r="AC64" s="3">
        <f t="shared" si="45"/>
        <v>1.5463917525773196</v>
      </c>
      <c r="AD64" s="3">
        <f t="shared" si="45"/>
        <v>1.5075376884422109</v>
      </c>
      <c r="AE64" s="3">
        <f t="shared" si="45"/>
        <v>1.932367149758454</v>
      </c>
      <c r="AF64" s="3">
        <f t="shared" si="45"/>
        <v>3.4825870646766171</v>
      </c>
      <c r="AG64" s="3">
        <f t="shared" si="45"/>
        <v>-7.5675675675675684</v>
      </c>
      <c r="AH64" s="3">
        <f t="shared" si="45"/>
        <v>1.5384615384615385</v>
      </c>
      <c r="AI64" s="3">
        <f t="shared" si="45"/>
        <v>1.5228426395939088</v>
      </c>
      <c r="AJ64" s="3">
        <f t="shared" si="45"/>
        <v>1.5151515151515151</v>
      </c>
      <c r="AK64" s="3">
        <f t="shared" si="45"/>
        <v>4.5454545454545459</v>
      </c>
      <c r="AL64" s="3">
        <f t="shared" si="45"/>
        <v>2.030456852791878</v>
      </c>
      <c r="AM64" s="3">
        <f t="shared" si="45"/>
        <v>1.5151515151515151</v>
      </c>
      <c r="AN64" s="3">
        <f t="shared" si="45"/>
        <v>-6.3157894736842106</v>
      </c>
      <c r="AO64" s="3">
        <f t="shared" si="45"/>
        <v>-0.50505050505050508</v>
      </c>
      <c r="AP64" s="3">
        <f t="shared" si="45"/>
        <v>-0.52631578947368418</v>
      </c>
      <c r="AQ64" s="3">
        <f t="shared" si="45"/>
        <v>1.0101010101010102</v>
      </c>
      <c r="AR64" s="3">
        <f t="shared" si="45"/>
        <v>1.015228426395939</v>
      </c>
      <c r="AS64" s="3">
        <f t="shared" si="45"/>
        <v>1.0309278350515463</v>
      </c>
      <c r="AT64" s="3">
        <f>MIN(M64:AS64)</f>
        <v>-8.4745762711864394</v>
      </c>
      <c r="AU64" s="3">
        <f>MAX(M64:AS64)</f>
        <v>4.5454545454545459</v>
      </c>
      <c r="AV64" s="7">
        <f>AVERAGE(M64:AS64)</f>
        <v>0.65497950274663663</v>
      </c>
    </row>
    <row r="65" spans="1:48" x14ac:dyDescent="0.15">
      <c r="A65" s="6" t="s">
        <v>41</v>
      </c>
      <c r="B65" s="3">
        <f t="shared" ref="B65:G65" si="46">B63/B62*100</f>
        <v>81.712062256809332</v>
      </c>
      <c r="C65" s="3">
        <f t="shared" si="46"/>
        <v>85.542168674698786</v>
      </c>
      <c r="D65" s="3">
        <f t="shared" si="46"/>
        <v>91.304347826086953</v>
      </c>
      <c r="E65" s="3">
        <f t="shared" si="46"/>
        <v>92.913385826771659</v>
      </c>
      <c r="F65" s="3">
        <f t="shared" si="46"/>
        <v>81.960784313725483</v>
      </c>
      <c r="G65" s="3">
        <f t="shared" si="46"/>
        <v>61.96078431372549</v>
      </c>
      <c r="H65" s="3">
        <f>MIN(B65:G65)</f>
        <v>61.96078431372549</v>
      </c>
      <c r="I65" s="3">
        <f>MAX(B65:G65)</f>
        <v>92.913385826771659</v>
      </c>
      <c r="J65" s="7">
        <f>AVERAGE(B65:G65)</f>
        <v>82.565588868636283</v>
      </c>
      <c r="M65" s="3">
        <f t="shared" ref="M65:AS65" si="47">M63/M62*100</f>
        <v>2.5252525252525251</v>
      </c>
      <c r="N65" s="3">
        <f t="shared" si="47"/>
        <v>2.5510204081632653</v>
      </c>
      <c r="O65" s="3">
        <f t="shared" si="47"/>
        <v>1.5544041450777202</v>
      </c>
      <c r="P65" s="3">
        <f t="shared" si="47"/>
        <v>1.4851485148514851</v>
      </c>
      <c r="Q65" s="3">
        <f t="shared" si="47"/>
        <v>3.0927835051546393</v>
      </c>
      <c r="R65" s="3">
        <f t="shared" si="47"/>
        <v>1.5384615384615385</v>
      </c>
      <c r="S65" s="3">
        <f t="shared" si="47"/>
        <v>2.0202020202020203</v>
      </c>
      <c r="T65" s="3">
        <f t="shared" si="47"/>
        <v>0.49019607843137253</v>
      </c>
      <c r="U65" s="3">
        <f t="shared" si="47"/>
        <v>2.0202020202020203</v>
      </c>
      <c r="V65" s="3">
        <f t="shared" si="47"/>
        <v>0.51546391752577314</v>
      </c>
      <c r="W65" s="3">
        <f t="shared" si="47"/>
        <v>1.0204081632653061</v>
      </c>
      <c r="X65" s="3">
        <f t="shared" si="47"/>
        <v>-2.5641025641025639</v>
      </c>
      <c r="Y65" s="3">
        <f t="shared" si="47"/>
        <v>1.0204081632653061</v>
      </c>
      <c r="Z65" s="3">
        <f t="shared" si="47"/>
        <v>-7.8125</v>
      </c>
      <c r="AA65" s="3">
        <f t="shared" si="47"/>
        <v>2.5</v>
      </c>
      <c r="AB65" s="3">
        <f t="shared" si="47"/>
        <v>1.5873015873015872</v>
      </c>
      <c r="AC65" s="3">
        <f t="shared" si="47"/>
        <v>1.5706806282722512</v>
      </c>
      <c r="AD65" s="3">
        <f t="shared" si="47"/>
        <v>1.5306122448979591</v>
      </c>
      <c r="AE65" s="3">
        <f t="shared" si="47"/>
        <v>1.9704433497536946</v>
      </c>
      <c r="AF65" s="3">
        <f t="shared" si="47"/>
        <v>3.608247422680412</v>
      </c>
      <c r="AG65" s="3">
        <f t="shared" si="47"/>
        <v>-7.0351758793969852</v>
      </c>
      <c r="AH65" s="3">
        <f t="shared" si="47"/>
        <v>1.5625</v>
      </c>
      <c r="AI65" s="3">
        <f t="shared" si="47"/>
        <v>1.5463917525773196</v>
      </c>
      <c r="AJ65" s="3">
        <f t="shared" si="47"/>
        <v>1.5384615384615385</v>
      </c>
      <c r="AK65" s="3">
        <f t="shared" si="47"/>
        <v>4.7619047619047619</v>
      </c>
      <c r="AL65" s="3">
        <f t="shared" si="47"/>
        <v>2.0725388601036272</v>
      </c>
      <c r="AM65" s="3">
        <f t="shared" si="47"/>
        <v>1.5384615384615385</v>
      </c>
      <c r="AN65" s="3">
        <f t="shared" si="47"/>
        <v>-5.9405940594059405</v>
      </c>
      <c r="AO65" s="3">
        <f t="shared" si="47"/>
        <v>-0.50251256281407031</v>
      </c>
      <c r="AP65" s="3">
        <f t="shared" si="47"/>
        <v>-0.52356020942408377</v>
      </c>
      <c r="AQ65" s="3">
        <f t="shared" si="47"/>
        <v>1.0204081632653061</v>
      </c>
      <c r="AR65" s="3">
        <f t="shared" si="47"/>
        <v>1.0256410256410255</v>
      </c>
      <c r="AS65" s="3">
        <f t="shared" si="47"/>
        <v>1.0416666666666665</v>
      </c>
      <c r="AT65" s="3">
        <f>MIN(M65:AS65)</f>
        <v>-7.8125</v>
      </c>
      <c r="AU65" s="3">
        <f>MAX(M65:AS65)</f>
        <v>4.7619047619047619</v>
      </c>
      <c r="AV65" s="7">
        <f>AVERAGE(M65:AS65)</f>
        <v>0.7372959171120308</v>
      </c>
    </row>
    <row r="66" spans="1:48" x14ac:dyDescent="0.15">
      <c r="B66" s="3"/>
      <c r="C66" s="3"/>
      <c r="D66" s="3"/>
      <c r="E66" s="3"/>
      <c r="F66" s="3"/>
      <c r="G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</row>
    <row r="67" spans="1:48" x14ac:dyDescent="0.15">
      <c r="A67" s="1" t="s">
        <v>31</v>
      </c>
      <c r="B67" s="3">
        <v>463</v>
      </c>
      <c r="C67" s="3">
        <v>465</v>
      </c>
      <c r="D67" s="3">
        <v>482</v>
      </c>
      <c r="E67" s="3">
        <v>493</v>
      </c>
      <c r="F67" s="3">
        <v>467</v>
      </c>
      <c r="G67" s="3">
        <v>412</v>
      </c>
      <c r="H67" s="3">
        <f>MIN(B67:G67)</f>
        <v>412</v>
      </c>
      <c r="I67" s="3">
        <f>MAX(B67:G67)</f>
        <v>493</v>
      </c>
      <c r="J67" s="3">
        <f>AVERAGE(B67:G67)</f>
        <v>463.66666666666669</v>
      </c>
      <c r="M67" s="3">
        <v>199</v>
      </c>
      <c r="N67" s="3">
        <v>197</v>
      </c>
      <c r="O67" s="3">
        <v>195</v>
      </c>
      <c r="P67" s="3">
        <v>207</v>
      </c>
      <c r="Q67" s="3">
        <v>200</v>
      </c>
      <c r="R67" s="3">
        <v>196</v>
      </c>
      <c r="S67" s="3">
        <v>188</v>
      </c>
      <c r="T67" s="3">
        <v>207</v>
      </c>
      <c r="U67" s="3">
        <v>201</v>
      </c>
      <c r="V67" s="3">
        <v>197</v>
      </c>
      <c r="W67" s="3">
        <v>199</v>
      </c>
      <c r="X67" s="3">
        <v>195</v>
      </c>
      <c r="Y67" s="3">
        <v>197</v>
      </c>
      <c r="Z67" s="3">
        <v>195</v>
      </c>
      <c r="AA67" s="3">
        <v>203</v>
      </c>
      <c r="AB67" s="3">
        <v>187</v>
      </c>
      <c r="AC67" s="3">
        <v>191</v>
      </c>
      <c r="AD67" s="3">
        <v>200</v>
      </c>
      <c r="AE67" s="3">
        <v>207</v>
      </c>
      <c r="AF67" s="3">
        <v>202</v>
      </c>
      <c r="AG67" s="3">
        <v>203</v>
      </c>
      <c r="AH67" s="3">
        <v>195</v>
      </c>
      <c r="AI67" s="3">
        <v>196</v>
      </c>
      <c r="AJ67" s="3">
        <v>198</v>
      </c>
      <c r="AK67" s="3">
        <v>198</v>
      </c>
      <c r="AL67" s="3">
        <v>196</v>
      </c>
      <c r="AM67" s="3">
        <v>196</v>
      </c>
      <c r="AN67" s="3">
        <v>202</v>
      </c>
      <c r="AO67" s="3">
        <v>202</v>
      </c>
      <c r="AP67" s="3">
        <v>194</v>
      </c>
      <c r="AQ67" s="3">
        <v>199</v>
      </c>
      <c r="AR67" s="3">
        <v>199</v>
      </c>
      <c r="AS67" s="3">
        <v>196</v>
      </c>
      <c r="AT67" s="3">
        <f>MIN(M67:AS67)</f>
        <v>187</v>
      </c>
      <c r="AU67" s="3">
        <f>MAX(M67:AS67)</f>
        <v>207</v>
      </c>
      <c r="AV67" s="3">
        <f>AVERAGE(M67:AS67)</f>
        <v>198.09090909090909</v>
      </c>
    </row>
    <row r="68" spans="1:48" x14ac:dyDescent="0.15">
      <c r="A68" s="1" t="s">
        <v>31</v>
      </c>
      <c r="B68" s="3">
        <v>248</v>
      </c>
      <c r="C68" s="3">
        <v>247</v>
      </c>
      <c r="D68" s="3">
        <v>252</v>
      </c>
      <c r="E68" s="3">
        <v>261</v>
      </c>
      <c r="F68" s="3">
        <v>257</v>
      </c>
      <c r="G68" s="3">
        <v>246</v>
      </c>
      <c r="H68" s="2">
        <f>MIN(B68:G68)</f>
        <v>246</v>
      </c>
      <c r="I68" s="2">
        <f>MAX(B68:G68)</f>
        <v>261</v>
      </c>
      <c r="J68" s="2">
        <f>AVERAGE(B68:G68)</f>
        <v>251.83333333333334</v>
      </c>
      <c r="K68" s="2"/>
      <c r="L68" s="2"/>
      <c r="M68" s="3">
        <v>196</v>
      </c>
      <c r="N68" s="3">
        <v>197</v>
      </c>
      <c r="O68" s="3">
        <v>192</v>
      </c>
      <c r="P68" s="3">
        <v>202</v>
      </c>
      <c r="Q68" s="3">
        <v>196</v>
      </c>
      <c r="R68" s="3">
        <v>195</v>
      </c>
      <c r="S68" s="3">
        <v>199</v>
      </c>
      <c r="T68" s="3">
        <v>202</v>
      </c>
      <c r="U68" s="3">
        <v>197</v>
      </c>
      <c r="V68" s="3">
        <v>194</v>
      </c>
      <c r="W68" s="3">
        <v>190</v>
      </c>
      <c r="X68" s="3">
        <v>195</v>
      </c>
      <c r="Y68" s="3">
        <v>190</v>
      </c>
      <c r="Z68" s="3">
        <v>193</v>
      </c>
      <c r="AA68" s="3">
        <v>202</v>
      </c>
      <c r="AB68" s="3">
        <v>190</v>
      </c>
      <c r="AC68" s="3">
        <v>186</v>
      </c>
      <c r="AD68" s="3">
        <v>196</v>
      </c>
      <c r="AE68" s="3">
        <v>197</v>
      </c>
      <c r="AF68" s="3">
        <v>187</v>
      </c>
      <c r="AG68" s="3">
        <v>199</v>
      </c>
      <c r="AH68" s="3">
        <v>192</v>
      </c>
      <c r="AI68" s="3">
        <v>188</v>
      </c>
      <c r="AJ68" s="3">
        <v>195</v>
      </c>
      <c r="AK68" s="3">
        <v>193</v>
      </c>
      <c r="AL68" s="3">
        <v>193</v>
      </c>
      <c r="AM68" s="3">
        <v>195</v>
      </c>
      <c r="AN68" s="3">
        <v>203</v>
      </c>
      <c r="AO68" s="3">
        <v>198</v>
      </c>
      <c r="AP68" s="3">
        <v>186</v>
      </c>
      <c r="AQ68" s="3">
        <v>195</v>
      </c>
      <c r="AR68" s="3">
        <v>194</v>
      </c>
      <c r="AS68" s="3">
        <v>188</v>
      </c>
      <c r="AT68" s="3">
        <f>MIN(M68:AS68)</f>
        <v>186</v>
      </c>
      <c r="AU68" s="3">
        <f>MAX(M68:AS68)</f>
        <v>203</v>
      </c>
      <c r="AV68" s="3">
        <f>AVERAGE(M68:AS68)</f>
        <v>194.39393939393941</v>
      </c>
    </row>
    <row r="69" spans="1:48" x14ac:dyDescent="0.15">
      <c r="A69" s="6" t="s">
        <v>39</v>
      </c>
      <c r="B69">
        <f t="shared" ref="B69:G69" si="48">B67-B68</f>
        <v>215</v>
      </c>
      <c r="C69">
        <f t="shared" si="48"/>
        <v>218</v>
      </c>
      <c r="D69">
        <f t="shared" si="48"/>
        <v>230</v>
      </c>
      <c r="E69">
        <f t="shared" si="48"/>
        <v>232</v>
      </c>
      <c r="F69">
        <f t="shared" si="48"/>
        <v>210</v>
      </c>
      <c r="G69">
        <f t="shared" si="48"/>
        <v>166</v>
      </c>
      <c r="H69" s="3">
        <f>MIN(B69:G69)</f>
        <v>166</v>
      </c>
      <c r="I69" s="3">
        <f>MAX(B69:G69)</f>
        <v>232</v>
      </c>
      <c r="J69" s="3">
        <f>AVERAGE(B69:G69)</f>
        <v>211.83333333333334</v>
      </c>
      <c r="M69">
        <f t="shared" ref="M69:AS69" si="49">M67-M68</f>
        <v>3</v>
      </c>
      <c r="N69">
        <f t="shared" si="49"/>
        <v>0</v>
      </c>
      <c r="O69">
        <f t="shared" si="49"/>
        <v>3</v>
      </c>
      <c r="P69">
        <f t="shared" si="49"/>
        <v>5</v>
      </c>
      <c r="Q69">
        <f t="shared" si="49"/>
        <v>4</v>
      </c>
      <c r="R69">
        <f t="shared" si="49"/>
        <v>1</v>
      </c>
      <c r="S69">
        <f t="shared" si="49"/>
        <v>-11</v>
      </c>
      <c r="T69">
        <f t="shared" si="49"/>
        <v>5</v>
      </c>
      <c r="U69">
        <f t="shared" si="49"/>
        <v>4</v>
      </c>
      <c r="V69">
        <f t="shared" si="49"/>
        <v>3</v>
      </c>
      <c r="W69">
        <f t="shared" si="49"/>
        <v>9</v>
      </c>
      <c r="X69">
        <f t="shared" si="49"/>
        <v>0</v>
      </c>
      <c r="Y69">
        <f t="shared" si="49"/>
        <v>7</v>
      </c>
      <c r="Z69">
        <f t="shared" si="49"/>
        <v>2</v>
      </c>
      <c r="AA69">
        <f t="shared" si="49"/>
        <v>1</v>
      </c>
      <c r="AB69">
        <f t="shared" si="49"/>
        <v>-3</v>
      </c>
      <c r="AC69">
        <f t="shared" si="49"/>
        <v>5</v>
      </c>
      <c r="AD69">
        <f t="shared" si="49"/>
        <v>4</v>
      </c>
      <c r="AE69">
        <f t="shared" si="49"/>
        <v>10</v>
      </c>
      <c r="AF69">
        <f t="shared" si="49"/>
        <v>15</v>
      </c>
      <c r="AG69">
        <f t="shared" si="49"/>
        <v>4</v>
      </c>
      <c r="AH69">
        <f t="shared" si="49"/>
        <v>3</v>
      </c>
      <c r="AI69">
        <f t="shared" si="49"/>
        <v>8</v>
      </c>
      <c r="AJ69">
        <f t="shared" si="49"/>
        <v>3</v>
      </c>
      <c r="AK69">
        <f t="shared" si="49"/>
        <v>5</v>
      </c>
      <c r="AL69">
        <f t="shared" si="49"/>
        <v>3</v>
      </c>
      <c r="AM69">
        <f t="shared" si="49"/>
        <v>1</v>
      </c>
      <c r="AN69">
        <f t="shared" si="49"/>
        <v>-1</v>
      </c>
      <c r="AO69">
        <f t="shared" si="49"/>
        <v>4</v>
      </c>
      <c r="AP69">
        <f t="shared" si="49"/>
        <v>8</v>
      </c>
      <c r="AQ69">
        <f t="shared" si="49"/>
        <v>4</v>
      </c>
      <c r="AR69">
        <f t="shared" si="49"/>
        <v>5</v>
      </c>
      <c r="AS69">
        <f t="shared" si="49"/>
        <v>8</v>
      </c>
      <c r="AT69" s="3">
        <f>MIN(M69:AS69)</f>
        <v>-11</v>
      </c>
      <c r="AU69" s="3">
        <f>MAX(M69:AS69)</f>
        <v>15</v>
      </c>
      <c r="AV69" s="3">
        <f>AVERAGE(M69:AS69)</f>
        <v>3.6969696969696968</v>
      </c>
    </row>
    <row r="70" spans="1:48" x14ac:dyDescent="0.15">
      <c r="A70" s="6" t="s">
        <v>40</v>
      </c>
      <c r="B70" s="3">
        <f t="shared" ref="B70:G70" si="50">B69/B67*100</f>
        <v>46.436285097192226</v>
      </c>
      <c r="C70" s="3">
        <f t="shared" si="50"/>
        <v>46.881720430107528</v>
      </c>
      <c r="D70" s="3">
        <f t="shared" si="50"/>
        <v>47.717842323651453</v>
      </c>
      <c r="E70" s="3">
        <f t="shared" si="50"/>
        <v>47.058823529411761</v>
      </c>
      <c r="F70" s="3">
        <f t="shared" si="50"/>
        <v>44.967880085653107</v>
      </c>
      <c r="G70" s="3">
        <f t="shared" si="50"/>
        <v>40.291262135922331</v>
      </c>
      <c r="H70" s="3">
        <f>MIN(B70:G70)</f>
        <v>40.291262135922331</v>
      </c>
      <c r="I70" s="3">
        <f>MAX(B70:G70)</f>
        <v>47.717842323651453</v>
      </c>
      <c r="J70" s="7">
        <f>AVERAGE(B70:G70)</f>
        <v>45.558968933656409</v>
      </c>
      <c r="M70" s="3">
        <f t="shared" ref="M70:AS70" si="51">M69/M67*100</f>
        <v>1.5075376884422109</v>
      </c>
      <c r="N70" s="3">
        <f t="shared" si="51"/>
        <v>0</v>
      </c>
      <c r="O70" s="3">
        <f t="shared" si="51"/>
        <v>1.5384615384615385</v>
      </c>
      <c r="P70" s="3">
        <f t="shared" si="51"/>
        <v>2.4154589371980677</v>
      </c>
      <c r="Q70" s="3">
        <f t="shared" si="51"/>
        <v>2</v>
      </c>
      <c r="R70" s="3">
        <f t="shared" si="51"/>
        <v>0.51020408163265307</v>
      </c>
      <c r="S70" s="3">
        <f t="shared" si="51"/>
        <v>-5.8510638297872344</v>
      </c>
      <c r="T70" s="3">
        <f t="shared" si="51"/>
        <v>2.4154589371980677</v>
      </c>
      <c r="U70" s="3">
        <f t="shared" si="51"/>
        <v>1.9900497512437811</v>
      </c>
      <c r="V70" s="3">
        <f t="shared" si="51"/>
        <v>1.5228426395939088</v>
      </c>
      <c r="W70" s="3">
        <f t="shared" si="51"/>
        <v>4.5226130653266337</v>
      </c>
      <c r="X70" s="3">
        <f t="shared" si="51"/>
        <v>0</v>
      </c>
      <c r="Y70" s="3">
        <f t="shared" si="51"/>
        <v>3.5532994923857872</v>
      </c>
      <c r="Z70" s="3">
        <f t="shared" si="51"/>
        <v>1.0256410256410255</v>
      </c>
      <c r="AA70" s="3">
        <f t="shared" si="51"/>
        <v>0.49261083743842365</v>
      </c>
      <c r="AB70" s="3">
        <f t="shared" si="51"/>
        <v>-1.6042780748663104</v>
      </c>
      <c r="AC70" s="3">
        <f t="shared" si="51"/>
        <v>2.6178010471204187</v>
      </c>
      <c r="AD70" s="3">
        <f t="shared" si="51"/>
        <v>2</v>
      </c>
      <c r="AE70" s="3">
        <f t="shared" si="51"/>
        <v>4.8309178743961354</v>
      </c>
      <c r="AF70" s="3">
        <f t="shared" si="51"/>
        <v>7.4257425742574252</v>
      </c>
      <c r="AG70" s="3">
        <f t="shared" si="51"/>
        <v>1.9704433497536946</v>
      </c>
      <c r="AH70" s="3">
        <f t="shared" si="51"/>
        <v>1.5384615384615385</v>
      </c>
      <c r="AI70" s="3">
        <f t="shared" si="51"/>
        <v>4.0816326530612246</v>
      </c>
      <c r="AJ70" s="3">
        <f t="shared" si="51"/>
        <v>1.5151515151515151</v>
      </c>
      <c r="AK70" s="3">
        <f t="shared" si="51"/>
        <v>2.5252525252525251</v>
      </c>
      <c r="AL70" s="3">
        <f t="shared" si="51"/>
        <v>1.5306122448979591</v>
      </c>
      <c r="AM70" s="3">
        <f t="shared" si="51"/>
        <v>0.51020408163265307</v>
      </c>
      <c r="AN70" s="3">
        <f t="shared" si="51"/>
        <v>-0.49504950495049505</v>
      </c>
      <c r="AO70" s="3">
        <f t="shared" si="51"/>
        <v>1.9801980198019802</v>
      </c>
      <c r="AP70" s="3">
        <f t="shared" si="51"/>
        <v>4.1237113402061851</v>
      </c>
      <c r="AQ70" s="3">
        <f t="shared" si="51"/>
        <v>2.0100502512562812</v>
      </c>
      <c r="AR70" s="3">
        <f t="shared" si="51"/>
        <v>2.512562814070352</v>
      </c>
      <c r="AS70" s="3">
        <f t="shared" si="51"/>
        <v>4.0816326530612246</v>
      </c>
      <c r="AT70" s="3">
        <f>MIN(M70:AS70)</f>
        <v>-5.8510638297872344</v>
      </c>
      <c r="AU70" s="3">
        <f>MAX(M70:AS70)</f>
        <v>7.4257425742574252</v>
      </c>
      <c r="AV70" s="7">
        <f>AVERAGE(M70:AS70)</f>
        <v>1.842368517192096</v>
      </c>
    </row>
    <row r="71" spans="1:48" x14ac:dyDescent="0.15">
      <c r="A71" s="6" t="s">
        <v>41</v>
      </c>
      <c r="B71" s="3">
        <f t="shared" ref="B71:G71" si="52">B69/B68*100</f>
        <v>86.693548387096769</v>
      </c>
      <c r="C71" s="3">
        <f t="shared" si="52"/>
        <v>88.259109311740886</v>
      </c>
      <c r="D71" s="3">
        <f t="shared" si="52"/>
        <v>91.269841269841265</v>
      </c>
      <c r="E71" s="3">
        <f t="shared" si="52"/>
        <v>88.888888888888886</v>
      </c>
      <c r="F71" s="3">
        <f t="shared" si="52"/>
        <v>81.712062256809332</v>
      </c>
      <c r="G71" s="3">
        <f t="shared" si="52"/>
        <v>67.479674796747972</v>
      </c>
      <c r="H71" s="3">
        <f>MIN(B71:G71)</f>
        <v>67.479674796747972</v>
      </c>
      <c r="I71" s="3">
        <f>MAX(B71:G71)</f>
        <v>91.269841269841265</v>
      </c>
      <c r="J71" s="7">
        <f>AVERAGE(B71:G71)</f>
        <v>84.050520818520852</v>
      </c>
      <c r="M71" s="3">
        <f t="shared" ref="M71:AS71" si="53">M69/M68*100</f>
        <v>1.5306122448979591</v>
      </c>
      <c r="N71" s="3">
        <f t="shared" si="53"/>
        <v>0</v>
      </c>
      <c r="O71" s="3">
        <f t="shared" si="53"/>
        <v>1.5625</v>
      </c>
      <c r="P71" s="3">
        <f t="shared" si="53"/>
        <v>2.4752475247524752</v>
      </c>
      <c r="Q71" s="3">
        <f t="shared" si="53"/>
        <v>2.0408163265306123</v>
      </c>
      <c r="R71" s="3">
        <f t="shared" si="53"/>
        <v>0.51282051282051277</v>
      </c>
      <c r="S71" s="3">
        <f t="shared" si="53"/>
        <v>-5.5276381909547743</v>
      </c>
      <c r="T71" s="3">
        <f t="shared" si="53"/>
        <v>2.4752475247524752</v>
      </c>
      <c r="U71" s="3">
        <f t="shared" si="53"/>
        <v>2.030456852791878</v>
      </c>
      <c r="V71" s="3">
        <f t="shared" si="53"/>
        <v>1.5463917525773196</v>
      </c>
      <c r="W71" s="3">
        <f t="shared" si="53"/>
        <v>4.7368421052631584</v>
      </c>
      <c r="X71" s="3">
        <f t="shared" si="53"/>
        <v>0</v>
      </c>
      <c r="Y71" s="3">
        <f t="shared" si="53"/>
        <v>3.6842105263157889</v>
      </c>
      <c r="Z71" s="3">
        <f t="shared" si="53"/>
        <v>1.0362694300518136</v>
      </c>
      <c r="AA71" s="3">
        <f t="shared" si="53"/>
        <v>0.49504950495049505</v>
      </c>
      <c r="AB71" s="3">
        <f t="shared" si="53"/>
        <v>-1.5789473684210527</v>
      </c>
      <c r="AC71" s="3">
        <f t="shared" si="53"/>
        <v>2.6881720430107525</v>
      </c>
      <c r="AD71" s="3">
        <f t="shared" si="53"/>
        <v>2.0408163265306123</v>
      </c>
      <c r="AE71" s="3">
        <f t="shared" si="53"/>
        <v>5.0761421319796955</v>
      </c>
      <c r="AF71" s="3">
        <f t="shared" si="53"/>
        <v>8.0213903743315509</v>
      </c>
      <c r="AG71" s="3">
        <f t="shared" si="53"/>
        <v>2.0100502512562812</v>
      </c>
      <c r="AH71" s="3">
        <f t="shared" si="53"/>
        <v>1.5625</v>
      </c>
      <c r="AI71" s="3">
        <f t="shared" si="53"/>
        <v>4.2553191489361701</v>
      </c>
      <c r="AJ71" s="3">
        <f t="shared" si="53"/>
        <v>1.5384615384615385</v>
      </c>
      <c r="AK71" s="3">
        <f t="shared" si="53"/>
        <v>2.5906735751295336</v>
      </c>
      <c r="AL71" s="3">
        <f t="shared" si="53"/>
        <v>1.5544041450777202</v>
      </c>
      <c r="AM71" s="3">
        <f t="shared" si="53"/>
        <v>0.51282051282051277</v>
      </c>
      <c r="AN71" s="3">
        <f t="shared" si="53"/>
        <v>-0.49261083743842365</v>
      </c>
      <c r="AO71" s="3">
        <f t="shared" si="53"/>
        <v>2.0202020202020203</v>
      </c>
      <c r="AP71" s="3">
        <f t="shared" si="53"/>
        <v>4.3010752688172049</v>
      </c>
      <c r="AQ71" s="3">
        <f t="shared" si="53"/>
        <v>2.0512820512820511</v>
      </c>
      <c r="AR71" s="3">
        <f t="shared" si="53"/>
        <v>2.5773195876288657</v>
      </c>
      <c r="AS71" s="3">
        <f t="shared" si="53"/>
        <v>4.2553191489361701</v>
      </c>
      <c r="AT71" s="3">
        <f>MIN(M71:AS71)</f>
        <v>-5.5276381909547743</v>
      </c>
      <c r="AU71" s="3">
        <f>MAX(M71:AS71)</f>
        <v>8.0213903743315509</v>
      </c>
      <c r="AV71" s="7">
        <f>AVERAGE(M71:AS71)</f>
        <v>1.9267641222209366</v>
      </c>
    </row>
    <row r="79" spans="1:48" x14ac:dyDescent="0.15">
      <c r="A79" s="1" t="s">
        <v>0</v>
      </c>
      <c r="B79" s="2" t="s">
        <v>1</v>
      </c>
      <c r="C79" s="2" t="s">
        <v>2</v>
      </c>
      <c r="D79" s="2" t="s">
        <v>1</v>
      </c>
      <c r="E79" s="2" t="s">
        <v>2</v>
      </c>
      <c r="F79" s="2" t="s">
        <v>1</v>
      </c>
      <c r="G79" s="2" t="s">
        <v>2</v>
      </c>
      <c r="M79" s="2" t="s">
        <v>3</v>
      </c>
      <c r="N79" s="2" t="s">
        <v>4</v>
      </c>
      <c r="O79" s="2" t="s">
        <v>5</v>
      </c>
      <c r="P79" s="2" t="s">
        <v>6</v>
      </c>
      <c r="Q79" s="2" t="s">
        <v>7</v>
      </c>
      <c r="R79" s="2" t="s">
        <v>8</v>
      </c>
      <c r="S79" s="2" t="s">
        <v>9</v>
      </c>
      <c r="T79" s="2" t="s">
        <v>10</v>
      </c>
      <c r="U79" s="2" t="s">
        <v>11</v>
      </c>
      <c r="V79" s="2" t="s">
        <v>12</v>
      </c>
      <c r="W79" s="2" t="s">
        <v>13</v>
      </c>
      <c r="X79" s="2" t="s">
        <v>3</v>
      </c>
      <c r="Y79" s="2" t="s">
        <v>4</v>
      </c>
      <c r="Z79" s="2" t="s">
        <v>5</v>
      </c>
      <c r="AA79" s="2" t="s">
        <v>6</v>
      </c>
      <c r="AB79" s="2" t="s">
        <v>7</v>
      </c>
      <c r="AC79" s="2" t="s">
        <v>8</v>
      </c>
      <c r="AD79" s="2" t="s">
        <v>9</v>
      </c>
      <c r="AE79" s="2" t="s">
        <v>10</v>
      </c>
      <c r="AF79" s="2" t="s">
        <v>11</v>
      </c>
      <c r="AG79" s="2" t="s">
        <v>12</v>
      </c>
      <c r="AH79" s="2" t="s">
        <v>13</v>
      </c>
      <c r="AI79" s="2" t="s">
        <v>3</v>
      </c>
      <c r="AJ79" s="2" t="s">
        <v>4</v>
      </c>
      <c r="AK79" s="2" t="s">
        <v>5</v>
      </c>
      <c r="AL79" s="2" t="s">
        <v>6</v>
      </c>
      <c r="AM79" s="2" t="s">
        <v>7</v>
      </c>
      <c r="AN79" s="2" t="s">
        <v>8</v>
      </c>
      <c r="AO79" s="2" t="s">
        <v>9</v>
      </c>
      <c r="AP79" s="2" t="s">
        <v>10</v>
      </c>
      <c r="AQ79" s="2" t="s">
        <v>11</v>
      </c>
      <c r="AR79" s="2" t="s">
        <v>12</v>
      </c>
      <c r="AS79" s="2" t="s">
        <v>13</v>
      </c>
    </row>
    <row r="80" spans="1:48" x14ac:dyDescent="0.15">
      <c r="A80" s="5" t="s">
        <v>38</v>
      </c>
    </row>
    <row r="81" spans="1:48" x14ac:dyDescent="0.15">
      <c r="A81" s="1" t="s">
        <v>35</v>
      </c>
      <c r="B81" s="3">
        <v>525</v>
      </c>
      <c r="C81" s="3">
        <v>527</v>
      </c>
      <c r="D81" s="3">
        <v>523</v>
      </c>
      <c r="E81" s="3">
        <v>524</v>
      </c>
      <c r="F81" s="3">
        <v>525</v>
      </c>
      <c r="G81" s="3">
        <v>506</v>
      </c>
      <c r="H81" s="3">
        <f>MIN(B81:G81)</f>
        <v>506</v>
      </c>
      <c r="I81" s="3">
        <f>MAX(B81:G81)</f>
        <v>527</v>
      </c>
      <c r="J81" s="3">
        <f>AVERAGE(B81:G81)</f>
        <v>521.66666666666663</v>
      </c>
      <c r="M81" s="3">
        <v>206</v>
      </c>
      <c r="N81" s="3">
        <v>205</v>
      </c>
      <c r="O81" s="3">
        <v>200</v>
      </c>
      <c r="P81" s="3">
        <v>210</v>
      </c>
      <c r="Q81" s="3">
        <v>206</v>
      </c>
      <c r="R81" s="3">
        <v>205</v>
      </c>
      <c r="S81" s="3">
        <v>206</v>
      </c>
      <c r="T81" s="3">
        <v>212</v>
      </c>
      <c r="U81" s="3">
        <v>205</v>
      </c>
      <c r="V81" s="3">
        <v>201</v>
      </c>
      <c r="W81" s="3">
        <v>203</v>
      </c>
      <c r="X81" s="3">
        <v>204</v>
      </c>
      <c r="Y81" s="3">
        <v>202</v>
      </c>
      <c r="Z81" s="3">
        <v>200</v>
      </c>
      <c r="AA81" s="3">
        <v>209</v>
      </c>
      <c r="AB81" s="3">
        <v>196</v>
      </c>
      <c r="AC81" s="3">
        <v>201</v>
      </c>
      <c r="AD81" s="3">
        <v>203</v>
      </c>
      <c r="AE81" s="3">
        <v>211</v>
      </c>
      <c r="AF81" s="3">
        <v>208</v>
      </c>
      <c r="AG81" s="3">
        <v>206</v>
      </c>
      <c r="AH81" s="3">
        <v>200</v>
      </c>
      <c r="AI81" s="3">
        <v>201</v>
      </c>
      <c r="AJ81" s="3">
        <v>202</v>
      </c>
      <c r="AK81" s="3">
        <v>203</v>
      </c>
      <c r="AL81" s="3">
        <v>200</v>
      </c>
      <c r="AM81" s="3">
        <v>202</v>
      </c>
      <c r="AN81" s="3">
        <v>213</v>
      </c>
      <c r="AO81" s="3">
        <v>194</v>
      </c>
      <c r="AP81" s="3">
        <v>193</v>
      </c>
      <c r="AQ81" s="3">
        <v>203</v>
      </c>
      <c r="AR81" s="3">
        <v>203</v>
      </c>
      <c r="AS81" s="3">
        <v>203</v>
      </c>
      <c r="AT81" s="3">
        <f>MIN(M81:AS81)</f>
        <v>193</v>
      </c>
      <c r="AU81" s="3">
        <f>MAX(M81:AS81)</f>
        <v>213</v>
      </c>
      <c r="AV81" s="3">
        <f>AVERAGE(M81:AS81)</f>
        <v>203.5151515151515</v>
      </c>
    </row>
    <row r="82" spans="1:48" x14ac:dyDescent="0.15">
      <c r="A82" s="1" t="s">
        <v>35</v>
      </c>
      <c r="B82" s="3">
        <v>521</v>
      </c>
      <c r="C82" s="3">
        <v>520</v>
      </c>
      <c r="D82" s="3">
        <v>519</v>
      </c>
      <c r="E82" s="3">
        <v>522</v>
      </c>
      <c r="F82" s="3">
        <v>520</v>
      </c>
      <c r="G82" s="3">
        <v>519</v>
      </c>
      <c r="H82" s="3">
        <f>MIN(B82:G82)</f>
        <v>519</v>
      </c>
      <c r="I82" s="3">
        <f>MAX(B82:G82)</f>
        <v>522</v>
      </c>
      <c r="J82" s="3">
        <f>AVERAGE(B82:G82)</f>
        <v>520.16666666666663</v>
      </c>
      <c r="M82" s="3">
        <v>206</v>
      </c>
      <c r="N82" s="3">
        <v>205</v>
      </c>
      <c r="O82" s="3">
        <v>199</v>
      </c>
      <c r="P82" s="3">
        <v>211</v>
      </c>
      <c r="Q82" s="3">
        <v>187</v>
      </c>
      <c r="R82" s="3">
        <v>205</v>
      </c>
      <c r="S82" s="3">
        <v>205</v>
      </c>
      <c r="T82" s="3">
        <v>209</v>
      </c>
      <c r="U82" s="3">
        <v>206</v>
      </c>
      <c r="V82" s="3">
        <v>201</v>
      </c>
      <c r="W82" s="3">
        <v>203</v>
      </c>
      <c r="X82" s="3">
        <v>204</v>
      </c>
      <c r="Y82" s="3">
        <v>194</v>
      </c>
      <c r="Z82" s="3">
        <v>200</v>
      </c>
      <c r="AA82" s="3">
        <v>209</v>
      </c>
      <c r="AB82" s="3">
        <v>196</v>
      </c>
      <c r="AC82" s="3">
        <v>200</v>
      </c>
      <c r="AD82" s="3">
        <v>203</v>
      </c>
      <c r="AE82" s="3">
        <v>211</v>
      </c>
      <c r="AF82" s="3">
        <v>208</v>
      </c>
      <c r="AG82" s="3">
        <v>206</v>
      </c>
      <c r="AH82" s="3">
        <v>200</v>
      </c>
      <c r="AI82" s="3">
        <v>201</v>
      </c>
      <c r="AJ82" s="3">
        <v>202</v>
      </c>
      <c r="AK82" s="3">
        <v>203</v>
      </c>
      <c r="AL82" s="3">
        <v>200</v>
      </c>
      <c r="AM82" s="3">
        <v>202</v>
      </c>
      <c r="AN82" s="3">
        <v>213</v>
      </c>
      <c r="AO82" s="3">
        <v>206</v>
      </c>
      <c r="AP82" s="3">
        <v>197</v>
      </c>
      <c r="AQ82" s="3">
        <v>203</v>
      </c>
      <c r="AR82" s="3">
        <v>203</v>
      </c>
      <c r="AS82" s="3">
        <v>203</v>
      </c>
      <c r="AT82" s="3">
        <f>MIN(M82:AS82)</f>
        <v>187</v>
      </c>
      <c r="AU82" s="3">
        <f>MAX(M82:AS82)</f>
        <v>213</v>
      </c>
      <c r="AV82" s="3">
        <f>AVERAGE(M82:AS82)</f>
        <v>203.06060606060606</v>
      </c>
    </row>
    <row r="83" spans="1:48" x14ac:dyDescent="0.15">
      <c r="A83" s="6" t="s">
        <v>39</v>
      </c>
      <c r="B83" s="3">
        <f t="shared" ref="B83:G83" si="54">B81-B82</f>
        <v>4</v>
      </c>
      <c r="C83" s="3">
        <f t="shared" si="54"/>
        <v>7</v>
      </c>
      <c r="D83" s="3">
        <f t="shared" si="54"/>
        <v>4</v>
      </c>
      <c r="E83" s="3">
        <f t="shared" si="54"/>
        <v>2</v>
      </c>
      <c r="F83" s="3">
        <f t="shared" si="54"/>
        <v>5</v>
      </c>
      <c r="G83" s="3">
        <f t="shared" si="54"/>
        <v>-13</v>
      </c>
      <c r="H83" s="3">
        <f>MIN(B83:G83)</f>
        <v>-13</v>
      </c>
      <c r="I83" s="3">
        <f>MAX(B83:G83)</f>
        <v>7</v>
      </c>
      <c r="J83" s="3">
        <f>AVERAGE(B83:G83)</f>
        <v>1.5</v>
      </c>
      <c r="M83" s="3">
        <f t="shared" ref="M83:AS83" si="55">M81-M82</f>
        <v>0</v>
      </c>
      <c r="N83" s="3">
        <f t="shared" si="55"/>
        <v>0</v>
      </c>
      <c r="O83" s="3">
        <f t="shared" si="55"/>
        <v>1</v>
      </c>
      <c r="P83" s="3">
        <f t="shared" si="55"/>
        <v>-1</v>
      </c>
      <c r="Q83" s="3">
        <f t="shared" si="55"/>
        <v>19</v>
      </c>
      <c r="R83" s="3">
        <f t="shared" si="55"/>
        <v>0</v>
      </c>
      <c r="S83" s="3">
        <f t="shared" si="55"/>
        <v>1</v>
      </c>
      <c r="T83" s="3">
        <f t="shared" si="55"/>
        <v>3</v>
      </c>
      <c r="U83" s="3">
        <f t="shared" si="55"/>
        <v>-1</v>
      </c>
      <c r="V83" s="3">
        <f t="shared" si="55"/>
        <v>0</v>
      </c>
      <c r="W83" s="3">
        <f t="shared" si="55"/>
        <v>0</v>
      </c>
      <c r="X83" s="3">
        <f t="shared" si="55"/>
        <v>0</v>
      </c>
      <c r="Y83" s="3">
        <f t="shared" si="55"/>
        <v>8</v>
      </c>
      <c r="Z83" s="3">
        <f t="shared" si="55"/>
        <v>0</v>
      </c>
      <c r="AA83" s="3">
        <f t="shared" si="55"/>
        <v>0</v>
      </c>
      <c r="AB83" s="3">
        <f t="shared" si="55"/>
        <v>0</v>
      </c>
      <c r="AC83" s="3">
        <f t="shared" si="55"/>
        <v>1</v>
      </c>
      <c r="AD83" s="3">
        <f t="shared" si="55"/>
        <v>0</v>
      </c>
      <c r="AE83" s="3">
        <f t="shared" si="55"/>
        <v>0</v>
      </c>
      <c r="AF83" s="3">
        <f t="shared" si="55"/>
        <v>0</v>
      </c>
      <c r="AG83" s="3">
        <f t="shared" si="55"/>
        <v>0</v>
      </c>
      <c r="AH83" s="3">
        <f t="shared" si="55"/>
        <v>0</v>
      </c>
      <c r="AI83" s="3">
        <f t="shared" si="55"/>
        <v>0</v>
      </c>
      <c r="AJ83" s="3">
        <f t="shared" si="55"/>
        <v>0</v>
      </c>
      <c r="AK83" s="3">
        <f t="shared" si="55"/>
        <v>0</v>
      </c>
      <c r="AL83" s="3">
        <f t="shared" si="55"/>
        <v>0</v>
      </c>
      <c r="AM83" s="3">
        <f t="shared" si="55"/>
        <v>0</v>
      </c>
      <c r="AN83" s="3">
        <f t="shared" si="55"/>
        <v>0</v>
      </c>
      <c r="AO83" s="3">
        <f t="shared" si="55"/>
        <v>-12</v>
      </c>
      <c r="AP83" s="3">
        <f t="shared" si="55"/>
        <v>-4</v>
      </c>
      <c r="AQ83" s="3">
        <f t="shared" si="55"/>
        <v>0</v>
      </c>
      <c r="AR83" s="3">
        <f t="shared" si="55"/>
        <v>0</v>
      </c>
      <c r="AS83" s="3">
        <f t="shared" si="55"/>
        <v>0</v>
      </c>
      <c r="AT83" s="3">
        <f>MIN(M83:AS83)</f>
        <v>-12</v>
      </c>
      <c r="AU83" s="3">
        <f>MAX(M83:AS83)</f>
        <v>19</v>
      </c>
      <c r="AV83" s="3">
        <f>AVERAGE(M83:AS83)</f>
        <v>0.45454545454545453</v>
      </c>
    </row>
    <row r="84" spans="1:48" x14ac:dyDescent="0.15">
      <c r="A84" s="6" t="s">
        <v>40</v>
      </c>
      <c r="B84" s="3">
        <f t="shared" ref="B84:G84" si="56">B83/B81*100</f>
        <v>0.76190476190476186</v>
      </c>
      <c r="C84" s="3">
        <f t="shared" si="56"/>
        <v>1.3282732447817838</v>
      </c>
      <c r="D84" s="3">
        <f t="shared" si="56"/>
        <v>0.76481835564053535</v>
      </c>
      <c r="E84" s="3">
        <f t="shared" si="56"/>
        <v>0.38167938931297707</v>
      </c>
      <c r="F84" s="3">
        <f t="shared" si="56"/>
        <v>0.95238095238095244</v>
      </c>
      <c r="G84" s="3">
        <f t="shared" si="56"/>
        <v>-2.5691699604743086</v>
      </c>
      <c r="H84" s="3">
        <f>MIN(B84:G84)</f>
        <v>-2.5691699604743086</v>
      </c>
      <c r="I84" s="3">
        <f>MAX(B84:G84)</f>
        <v>1.3282732447817838</v>
      </c>
      <c r="J84" s="7">
        <f>AVERAGE(B84:G84)</f>
        <v>0.26998112392445028</v>
      </c>
      <c r="M84" s="3">
        <f t="shared" ref="M84:AS84" si="57">M83/M81*100</f>
        <v>0</v>
      </c>
      <c r="N84" s="3">
        <f t="shared" si="57"/>
        <v>0</v>
      </c>
      <c r="O84" s="3">
        <f t="shared" si="57"/>
        <v>0.5</v>
      </c>
      <c r="P84" s="3">
        <f t="shared" si="57"/>
        <v>-0.47619047619047622</v>
      </c>
      <c r="Q84" s="3">
        <f t="shared" si="57"/>
        <v>9.2233009708737868</v>
      </c>
      <c r="R84" s="3">
        <f t="shared" si="57"/>
        <v>0</v>
      </c>
      <c r="S84" s="3">
        <f t="shared" si="57"/>
        <v>0.48543689320388345</v>
      </c>
      <c r="T84" s="3">
        <f t="shared" si="57"/>
        <v>1.4150943396226416</v>
      </c>
      <c r="U84" s="3">
        <f t="shared" si="57"/>
        <v>-0.48780487804878048</v>
      </c>
      <c r="V84" s="3">
        <f t="shared" si="57"/>
        <v>0</v>
      </c>
      <c r="W84" s="3">
        <f t="shared" si="57"/>
        <v>0</v>
      </c>
      <c r="X84" s="3">
        <f t="shared" si="57"/>
        <v>0</v>
      </c>
      <c r="Y84" s="3">
        <f t="shared" si="57"/>
        <v>3.9603960396039604</v>
      </c>
      <c r="Z84" s="3">
        <f t="shared" si="57"/>
        <v>0</v>
      </c>
      <c r="AA84" s="3">
        <f t="shared" si="57"/>
        <v>0</v>
      </c>
      <c r="AB84" s="3">
        <f t="shared" si="57"/>
        <v>0</v>
      </c>
      <c r="AC84" s="3">
        <f t="shared" si="57"/>
        <v>0.49751243781094528</v>
      </c>
      <c r="AD84" s="3">
        <f t="shared" si="57"/>
        <v>0</v>
      </c>
      <c r="AE84" s="3">
        <f t="shared" si="57"/>
        <v>0</v>
      </c>
      <c r="AF84" s="3">
        <f t="shared" si="57"/>
        <v>0</v>
      </c>
      <c r="AG84" s="3">
        <f t="shared" si="57"/>
        <v>0</v>
      </c>
      <c r="AH84" s="3">
        <f t="shared" si="57"/>
        <v>0</v>
      </c>
      <c r="AI84" s="3">
        <f t="shared" si="57"/>
        <v>0</v>
      </c>
      <c r="AJ84" s="3">
        <f t="shared" si="57"/>
        <v>0</v>
      </c>
      <c r="AK84" s="3">
        <f t="shared" si="57"/>
        <v>0</v>
      </c>
      <c r="AL84" s="3">
        <f t="shared" si="57"/>
        <v>0</v>
      </c>
      <c r="AM84" s="3">
        <f t="shared" si="57"/>
        <v>0</v>
      </c>
      <c r="AN84" s="3">
        <f t="shared" si="57"/>
        <v>0</v>
      </c>
      <c r="AO84" s="3">
        <f t="shared" si="57"/>
        <v>-6.1855670103092786</v>
      </c>
      <c r="AP84" s="3">
        <f t="shared" si="57"/>
        <v>-2.0725388601036272</v>
      </c>
      <c r="AQ84" s="3">
        <f t="shared" si="57"/>
        <v>0</v>
      </c>
      <c r="AR84" s="3">
        <f t="shared" si="57"/>
        <v>0</v>
      </c>
      <c r="AS84" s="3">
        <f t="shared" si="57"/>
        <v>0</v>
      </c>
      <c r="AT84" s="3">
        <f>MIN(M84:AS84)</f>
        <v>-6.1855670103092786</v>
      </c>
      <c r="AU84" s="3">
        <f>MAX(M84:AS84)</f>
        <v>9.2233009708737868</v>
      </c>
      <c r="AV84" s="7">
        <f>AVERAGE(M84:AS84)</f>
        <v>0.20786786231706222</v>
      </c>
    </row>
    <row r="85" spans="1:48" x14ac:dyDescent="0.15">
      <c r="A85" s="6" t="s">
        <v>41</v>
      </c>
      <c r="B85" s="3">
        <f t="shared" ref="B85:G85" si="58">B83/B82*100</f>
        <v>0.76775431861804222</v>
      </c>
      <c r="C85" s="3">
        <f t="shared" si="58"/>
        <v>1.3461538461538463</v>
      </c>
      <c r="D85" s="3">
        <f t="shared" si="58"/>
        <v>0.77071290944123316</v>
      </c>
      <c r="E85" s="3">
        <f t="shared" si="58"/>
        <v>0.38314176245210724</v>
      </c>
      <c r="F85" s="3">
        <f t="shared" si="58"/>
        <v>0.96153846153846156</v>
      </c>
      <c r="G85" s="3">
        <f t="shared" si="58"/>
        <v>-2.5048169556840074</v>
      </c>
      <c r="H85" s="3">
        <f>MIN(B85:G85)</f>
        <v>-2.5048169556840074</v>
      </c>
      <c r="I85" s="3">
        <f>MAX(B85:G85)</f>
        <v>1.3461538461538463</v>
      </c>
      <c r="J85" s="7">
        <f>AVERAGE(B85:G85)</f>
        <v>0.28741405708661388</v>
      </c>
      <c r="M85" s="3">
        <f t="shared" ref="M85:AS85" si="59">M83/M82*100</f>
        <v>0</v>
      </c>
      <c r="N85" s="3">
        <f t="shared" si="59"/>
        <v>0</v>
      </c>
      <c r="O85" s="3">
        <f t="shared" si="59"/>
        <v>0.50251256281407031</v>
      </c>
      <c r="P85" s="3">
        <f t="shared" si="59"/>
        <v>-0.47393364928909953</v>
      </c>
      <c r="Q85" s="3">
        <f t="shared" si="59"/>
        <v>10.160427807486631</v>
      </c>
      <c r="R85" s="3">
        <f t="shared" si="59"/>
        <v>0</v>
      </c>
      <c r="S85" s="3">
        <f t="shared" si="59"/>
        <v>0.48780487804878048</v>
      </c>
      <c r="T85" s="3">
        <f t="shared" si="59"/>
        <v>1.4354066985645932</v>
      </c>
      <c r="U85" s="3">
        <f t="shared" si="59"/>
        <v>-0.48543689320388345</v>
      </c>
      <c r="V85" s="3">
        <f t="shared" si="59"/>
        <v>0</v>
      </c>
      <c r="W85" s="3">
        <f t="shared" si="59"/>
        <v>0</v>
      </c>
      <c r="X85" s="3">
        <f t="shared" si="59"/>
        <v>0</v>
      </c>
      <c r="Y85" s="3">
        <f t="shared" si="59"/>
        <v>4.1237113402061851</v>
      </c>
      <c r="Z85" s="3">
        <f t="shared" si="59"/>
        <v>0</v>
      </c>
      <c r="AA85" s="3">
        <f t="shared" si="59"/>
        <v>0</v>
      </c>
      <c r="AB85" s="3">
        <f t="shared" si="59"/>
        <v>0</v>
      </c>
      <c r="AC85" s="3">
        <f t="shared" si="59"/>
        <v>0.5</v>
      </c>
      <c r="AD85" s="3">
        <f t="shared" si="59"/>
        <v>0</v>
      </c>
      <c r="AE85" s="3">
        <f t="shared" si="59"/>
        <v>0</v>
      </c>
      <c r="AF85" s="3">
        <f t="shared" si="59"/>
        <v>0</v>
      </c>
      <c r="AG85" s="3">
        <f t="shared" si="59"/>
        <v>0</v>
      </c>
      <c r="AH85" s="3">
        <f t="shared" si="59"/>
        <v>0</v>
      </c>
      <c r="AI85" s="3">
        <f t="shared" si="59"/>
        <v>0</v>
      </c>
      <c r="AJ85" s="3">
        <f t="shared" si="59"/>
        <v>0</v>
      </c>
      <c r="AK85" s="3">
        <f t="shared" si="59"/>
        <v>0</v>
      </c>
      <c r="AL85" s="3">
        <f t="shared" si="59"/>
        <v>0</v>
      </c>
      <c r="AM85" s="3">
        <f t="shared" si="59"/>
        <v>0</v>
      </c>
      <c r="AN85" s="3">
        <f t="shared" si="59"/>
        <v>0</v>
      </c>
      <c r="AO85" s="3">
        <f t="shared" si="59"/>
        <v>-5.825242718446602</v>
      </c>
      <c r="AP85" s="3">
        <f t="shared" si="59"/>
        <v>-2.030456852791878</v>
      </c>
      <c r="AQ85" s="3">
        <f t="shared" si="59"/>
        <v>0</v>
      </c>
      <c r="AR85" s="3">
        <f t="shared" si="59"/>
        <v>0</v>
      </c>
      <c r="AS85" s="3">
        <f t="shared" si="59"/>
        <v>0</v>
      </c>
      <c r="AT85" s="3">
        <f>MIN(M85:AS85)</f>
        <v>-5.825242718446602</v>
      </c>
      <c r="AU85" s="3">
        <f>MAX(M85:AS85)</f>
        <v>10.160427807486631</v>
      </c>
      <c r="AV85" s="7">
        <f>AVERAGE(M85:AS85)</f>
        <v>0.25438767192087258</v>
      </c>
    </row>
    <row r="86" spans="1:48" x14ac:dyDescent="0.15">
      <c r="B86" s="3"/>
      <c r="C86" s="3"/>
      <c r="D86" s="3"/>
      <c r="E86" s="3"/>
      <c r="F86" s="3"/>
      <c r="G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</row>
    <row r="87" spans="1:48" x14ac:dyDescent="0.15">
      <c r="A87" s="1" t="s">
        <v>36</v>
      </c>
      <c r="B87" s="3">
        <v>531</v>
      </c>
      <c r="C87" s="3">
        <v>530</v>
      </c>
      <c r="D87" s="3">
        <v>524</v>
      </c>
      <c r="E87" s="3">
        <v>522</v>
      </c>
      <c r="F87" s="3">
        <v>529</v>
      </c>
      <c r="G87" s="3">
        <v>509</v>
      </c>
      <c r="H87" s="3">
        <f>MIN(B87:G87)</f>
        <v>509</v>
      </c>
      <c r="I87" s="3">
        <f>MAX(B87:G87)</f>
        <v>531</v>
      </c>
      <c r="J87" s="3">
        <f>AVERAGE(B87:G87)</f>
        <v>524.16666666666663</v>
      </c>
      <c r="M87" s="3">
        <v>206</v>
      </c>
      <c r="N87" s="3">
        <v>205</v>
      </c>
      <c r="O87" s="3">
        <v>199</v>
      </c>
      <c r="P87" s="3">
        <v>211</v>
      </c>
      <c r="Q87" s="3">
        <v>205</v>
      </c>
      <c r="R87" s="3">
        <v>205</v>
      </c>
      <c r="S87" s="3">
        <v>206</v>
      </c>
      <c r="T87" s="3">
        <v>212</v>
      </c>
      <c r="U87" s="3">
        <v>205</v>
      </c>
      <c r="V87" s="3">
        <v>201</v>
      </c>
      <c r="W87" s="3">
        <v>203</v>
      </c>
      <c r="X87" s="3">
        <v>204</v>
      </c>
      <c r="Y87" s="3">
        <v>203</v>
      </c>
      <c r="Z87" s="3">
        <v>200</v>
      </c>
      <c r="AA87" s="3">
        <v>209</v>
      </c>
      <c r="AB87" s="3">
        <v>182</v>
      </c>
      <c r="AC87" s="3">
        <v>201</v>
      </c>
      <c r="AD87" s="3">
        <v>204</v>
      </c>
      <c r="AE87" s="3">
        <v>211</v>
      </c>
      <c r="AF87" s="3">
        <v>208</v>
      </c>
      <c r="AG87" s="3">
        <v>206</v>
      </c>
      <c r="AH87" s="3">
        <v>200</v>
      </c>
      <c r="AI87" s="3">
        <v>201</v>
      </c>
      <c r="AJ87" s="3">
        <v>202</v>
      </c>
      <c r="AK87" s="3">
        <v>203</v>
      </c>
      <c r="AL87" s="3">
        <v>200</v>
      </c>
      <c r="AM87" s="3">
        <v>202</v>
      </c>
      <c r="AN87" s="3">
        <v>213</v>
      </c>
      <c r="AO87" s="3">
        <v>206</v>
      </c>
      <c r="AP87" s="3">
        <v>197</v>
      </c>
      <c r="AQ87" s="3">
        <v>203</v>
      </c>
      <c r="AR87" s="3">
        <v>203</v>
      </c>
      <c r="AS87" s="3">
        <v>203</v>
      </c>
      <c r="AT87" s="3">
        <f>MIN(M87:AS87)</f>
        <v>182</v>
      </c>
      <c r="AU87" s="3">
        <f>MAX(M87:AS87)</f>
        <v>213</v>
      </c>
      <c r="AV87" s="3">
        <f>AVERAGE(M87:AS87)</f>
        <v>203.60606060606059</v>
      </c>
    </row>
    <row r="88" spans="1:48" x14ac:dyDescent="0.15">
      <c r="A88" s="1" t="s">
        <v>36</v>
      </c>
      <c r="B88" s="3">
        <v>520</v>
      </c>
      <c r="C88" s="3">
        <v>521</v>
      </c>
      <c r="D88" s="3">
        <v>517</v>
      </c>
      <c r="E88" s="3">
        <v>518</v>
      </c>
      <c r="F88" s="3">
        <v>522</v>
      </c>
      <c r="G88" s="3">
        <v>464</v>
      </c>
      <c r="H88" s="3">
        <f>MIN(B88:G88)</f>
        <v>464</v>
      </c>
      <c r="I88" s="3">
        <f>MAX(B88:G88)</f>
        <v>522</v>
      </c>
      <c r="J88" s="3">
        <f>AVERAGE(B88:G88)</f>
        <v>510.33333333333331</v>
      </c>
      <c r="M88" s="3">
        <v>207</v>
      </c>
      <c r="N88" s="3">
        <v>205</v>
      </c>
      <c r="O88" s="3">
        <v>199</v>
      </c>
      <c r="P88" s="3">
        <v>210</v>
      </c>
      <c r="Q88" s="3">
        <v>206</v>
      </c>
      <c r="R88" s="3">
        <v>204</v>
      </c>
      <c r="S88" s="3">
        <v>206</v>
      </c>
      <c r="T88" s="3">
        <v>212</v>
      </c>
      <c r="U88" s="3">
        <v>205</v>
      </c>
      <c r="V88" s="3">
        <v>201</v>
      </c>
      <c r="W88" s="3">
        <v>203</v>
      </c>
      <c r="X88" s="3">
        <v>204</v>
      </c>
      <c r="Y88" s="3">
        <v>203</v>
      </c>
      <c r="Z88" s="3">
        <v>200</v>
      </c>
      <c r="AA88" s="3">
        <v>209</v>
      </c>
      <c r="AB88" s="3">
        <v>194</v>
      </c>
      <c r="AC88" s="3">
        <v>186</v>
      </c>
      <c r="AD88" s="3">
        <v>202</v>
      </c>
      <c r="AE88" s="3">
        <v>211</v>
      </c>
      <c r="AF88" s="3">
        <v>208</v>
      </c>
      <c r="AG88" s="3">
        <v>206</v>
      </c>
      <c r="AH88" s="3">
        <v>200</v>
      </c>
      <c r="AI88" s="3">
        <v>201</v>
      </c>
      <c r="AJ88" s="3">
        <v>200</v>
      </c>
      <c r="AK88" s="3">
        <v>204</v>
      </c>
      <c r="AL88" s="3">
        <v>200</v>
      </c>
      <c r="AM88" s="3">
        <v>203</v>
      </c>
      <c r="AN88" s="3">
        <v>213</v>
      </c>
      <c r="AO88" s="3">
        <v>205</v>
      </c>
      <c r="AP88" s="3">
        <v>197</v>
      </c>
      <c r="AQ88" s="3">
        <v>203</v>
      </c>
      <c r="AR88" s="3">
        <v>203</v>
      </c>
      <c r="AS88" s="3">
        <v>203</v>
      </c>
      <c r="AT88" s="3">
        <f>MIN(M88:AS88)</f>
        <v>186</v>
      </c>
      <c r="AU88" s="3">
        <f>MAX(M88:AS88)</f>
        <v>213</v>
      </c>
      <c r="AV88" s="3">
        <f>AVERAGE(M88:AS88)</f>
        <v>203.42424242424244</v>
      </c>
    </row>
    <row r="89" spans="1:48" x14ac:dyDescent="0.15">
      <c r="A89" s="6" t="s">
        <v>39</v>
      </c>
      <c r="B89" s="3">
        <f t="shared" ref="B89:G89" si="60">B87-B88</f>
        <v>11</v>
      </c>
      <c r="C89" s="3">
        <f t="shared" si="60"/>
        <v>9</v>
      </c>
      <c r="D89" s="3">
        <f t="shared" si="60"/>
        <v>7</v>
      </c>
      <c r="E89" s="3">
        <f t="shared" si="60"/>
        <v>4</v>
      </c>
      <c r="F89" s="3">
        <f t="shared" si="60"/>
        <v>7</v>
      </c>
      <c r="G89" s="3">
        <f t="shared" si="60"/>
        <v>45</v>
      </c>
      <c r="H89" s="3">
        <f>MIN(B89:G89)</f>
        <v>4</v>
      </c>
      <c r="I89" s="3">
        <f>MAX(B89:G89)</f>
        <v>45</v>
      </c>
      <c r="J89" s="3">
        <f>AVERAGE(B89:G89)</f>
        <v>13.833333333333334</v>
      </c>
      <c r="M89" s="3">
        <f t="shared" ref="M89:AS89" si="61">M87-M88</f>
        <v>-1</v>
      </c>
      <c r="N89" s="3">
        <f t="shared" si="61"/>
        <v>0</v>
      </c>
      <c r="O89" s="3">
        <f t="shared" si="61"/>
        <v>0</v>
      </c>
      <c r="P89" s="3">
        <f t="shared" si="61"/>
        <v>1</v>
      </c>
      <c r="Q89" s="3">
        <f t="shared" si="61"/>
        <v>-1</v>
      </c>
      <c r="R89" s="3">
        <f t="shared" si="61"/>
        <v>1</v>
      </c>
      <c r="S89" s="3">
        <f t="shared" si="61"/>
        <v>0</v>
      </c>
      <c r="T89" s="3">
        <f t="shared" si="61"/>
        <v>0</v>
      </c>
      <c r="U89" s="3">
        <f t="shared" si="61"/>
        <v>0</v>
      </c>
      <c r="V89" s="3">
        <f t="shared" si="61"/>
        <v>0</v>
      </c>
      <c r="W89" s="3">
        <f t="shared" si="61"/>
        <v>0</v>
      </c>
      <c r="X89" s="3">
        <f t="shared" si="61"/>
        <v>0</v>
      </c>
      <c r="Y89" s="3">
        <f t="shared" si="61"/>
        <v>0</v>
      </c>
      <c r="Z89" s="3">
        <f t="shared" si="61"/>
        <v>0</v>
      </c>
      <c r="AA89" s="3">
        <f t="shared" si="61"/>
        <v>0</v>
      </c>
      <c r="AB89" s="3">
        <f t="shared" si="61"/>
        <v>-12</v>
      </c>
      <c r="AC89" s="3">
        <f t="shared" si="61"/>
        <v>15</v>
      </c>
      <c r="AD89" s="3">
        <f t="shared" si="61"/>
        <v>2</v>
      </c>
      <c r="AE89" s="3">
        <f t="shared" si="61"/>
        <v>0</v>
      </c>
      <c r="AF89" s="3">
        <f t="shared" si="61"/>
        <v>0</v>
      </c>
      <c r="AG89" s="3">
        <f t="shared" si="61"/>
        <v>0</v>
      </c>
      <c r="AH89" s="3">
        <f t="shared" si="61"/>
        <v>0</v>
      </c>
      <c r="AI89" s="3">
        <f t="shared" si="61"/>
        <v>0</v>
      </c>
      <c r="AJ89" s="3">
        <f t="shared" si="61"/>
        <v>2</v>
      </c>
      <c r="AK89" s="3">
        <f t="shared" si="61"/>
        <v>-1</v>
      </c>
      <c r="AL89" s="3">
        <f t="shared" si="61"/>
        <v>0</v>
      </c>
      <c r="AM89" s="3">
        <f t="shared" si="61"/>
        <v>-1</v>
      </c>
      <c r="AN89" s="3">
        <f t="shared" si="61"/>
        <v>0</v>
      </c>
      <c r="AO89" s="3">
        <f t="shared" si="61"/>
        <v>1</v>
      </c>
      <c r="AP89" s="3">
        <f t="shared" si="61"/>
        <v>0</v>
      </c>
      <c r="AQ89" s="3">
        <f t="shared" si="61"/>
        <v>0</v>
      </c>
      <c r="AR89" s="3">
        <f t="shared" si="61"/>
        <v>0</v>
      </c>
      <c r="AS89" s="3">
        <f t="shared" si="61"/>
        <v>0</v>
      </c>
      <c r="AT89" s="3">
        <f>MIN(M89:AS89)</f>
        <v>-12</v>
      </c>
      <c r="AU89" s="3">
        <f>MAX(M89:AS89)</f>
        <v>15</v>
      </c>
      <c r="AV89" s="3">
        <f>AVERAGE(M89:AS89)</f>
        <v>0.18181818181818182</v>
      </c>
    </row>
    <row r="90" spans="1:48" x14ac:dyDescent="0.15">
      <c r="A90" s="6" t="s">
        <v>40</v>
      </c>
      <c r="B90" s="3">
        <f t="shared" ref="B90:G90" si="62">B89/B87*100</f>
        <v>2.0715630885122414</v>
      </c>
      <c r="C90" s="3">
        <f t="shared" si="62"/>
        <v>1.6981132075471699</v>
      </c>
      <c r="D90" s="3">
        <f t="shared" si="62"/>
        <v>1.3358778625954197</v>
      </c>
      <c r="E90" s="3">
        <f t="shared" si="62"/>
        <v>0.76628352490421447</v>
      </c>
      <c r="F90" s="3">
        <f t="shared" si="62"/>
        <v>1.3232514177693762</v>
      </c>
      <c r="G90" s="3">
        <f t="shared" si="62"/>
        <v>8.840864440078585</v>
      </c>
      <c r="H90" s="3">
        <f>MIN(B90:G90)</f>
        <v>0.76628352490421447</v>
      </c>
      <c r="I90" s="3">
        <f>MAX(B90:G90)</f>
        <v>8.840864440078585</v>
      </c>
      <c r="J90" s="7">
        <f>AVERAGE(B90:G90)</f>
        <v>2.6726589235678344</v>
      </c>
      <c r="M90" s="3">
        <f t="shared" ref="M90:AS90" si="63">M89/M87*100</f>
        <v>-0.48543689320388345</v>
      </c>
      <c r="N90" s="3">
        <f t="shared" si="63"/>
        <v>0</v>
      </c>
      <c r="O90" s="3">
        <f t="shared" si="63"/>
        <v>0</v>
      </c>
      <c r="P90" s="3">
        <f t="shared" si="63"/>
        <v>0.47393364928909953</v>
      </c>
      <c r="Q90" s="3">
        <f t="shared" si="63"/>
        <v>-0.48780487804878048</v>
      </c>
      <c r="R90" s="3">
        <f t="shared" si="63"/>
        <v>0.48780487804878048</v>
      </c>
      <c r="S90" s="3">
        <f t="shared" si="63"/>
        <v>0</v>
      </c>
      <c r="T90" s="3">
        <f t="shared" si="63"/>
        <v>0</v>
      </c>
      <c r="U90" s="3">
        <f t="shared" si="63"/>
        <v>0</v>
      </c>
      <c r="V90" s="3">
        <f t="shared" si="63"/>
        <v>0</v>
      </c>
      <c r="W90" s="3">
        <f t="shared" si="63"/>
        <v>0</v>
      </c>
      <c r="X90" s="3">
        <f t="shared" si="63"/>
        <v>0</v>
      </c>
      <c r="Y90" s="3">
        <f t="shared" si="63"/>
        <v>0</v>
      </c>
      <c r="Z90" s="3">
        <f t="shared" si="63"/>
        <v>0</v>
      </c>
      <c r="AA90" s="3">
        <f t="shared" si="63"/>
        <v>0</v>
      </c>
      <c r="AB90" s="3">
        <f t="shared" si="63"/>
        <v>-6.593406593406594</v>
      </c>
      <c r="AC90" s="3">
        <f t="shared" si="63"/>
        <v>7.4626865671641784</v>
      </c>
      <c r="AD90" s="3">
        <f t="shared" si="63"/>
        <v>0.98039215686274506</v>
      </c>
      <c r="AE90" s="3">
        <f t="shared" si="63"/>
        <v>0</v>
      </c>
      <c r="AF90" s="3">
        <f t="shared" si="63"/>
        <v>0</v>
      </c>
      <c r="AG90" s="3">
        <f t="shared" si="63"/>
        <v>0</v>
      </c>
      <c r="AH90" s="3">
        <f t="shared" si="63"/>
        <v>0</v>
      </c>
      <c r="AI90" s="3">
        <f t="shared" si="63"/>
        <v>0</v>
      </c>
      <c r="AJ90" s="3">
        <f t="shared" si="63"/>
        <v>0.99009900990099009</v>
      </c>
      <c r="AK90" s="3">
        <f t="shared" si="63"/>
        <v>-0.49261083743842365</v>
      </c>
      <c r="AL90" s="3">
        <f t="shared" si="63"/>
        <v>0</v>
      </c>
      <c r="AM90" s="3">
        <f t="shared" si="63"/>
        <v>-0.49504950495049505</v>
      </c>
      <c r="AN90" s="3">
        <f t="shared" si="63"/>
        <v>0</v>
      </c>
      <c r="AO90" s="3">
        <f t="shared" si="63"/>
        <v>0.48543689320388345</v>
      </c>
      <c r="AP90" s="3">
        <f t="shared" si="63"/>
        <v>0</v>
      </c>
      <c r="AQ90" s="3">
        <f t="shared" si="63"/>
        <v>0</v>
      </c>
      <c r="AR90" s="3">
        <f t="shared" si="63"/>
        <v>0</v>
      </c>
      <c r="AS90" s="3">
        <f t="shared" si="63"/>
        <v>0</v>
      </c>
      <c r="AT90" s="3">
        <f>MIN(M90:AS90)</f>
        <v>-6.593406593406594</v>
      </c>
      <c r="AU90" s="3">
        <f>MAX(M90:AS90)</f>
        <v>7.4626865671641784</v>
      </c>
      <c r="AV90" s="7">
        <f>AVERAGE(M90:AS90)</f>
        <v>7.0486195376409114E-2</v>
      </c>
    </row>
    <row r="91" spans="1:48" x14ac:dyDescent="0.15">
      <c r="A91" s="6" t="s">
        <v>41</v>
      </c>
      <c r="B91" s="3">
        <f t="shared" ref="B91:G91" si="64">B89/B88*100</f>
        <v>2.1153846153846154</v>
      </c>
      <c r="C91" s="3">
        <f t="shared" si="64"/>
        <v>1.727447216890595</v>
      </c>
      <c r="D91" s="3">
        <f t="shared" si="64"/>
        <v>1.3539651837524178</v>
      </c>
      <c r="E91" s="3">
        <f t="shared" si="64"/>
        <v>0.77220077220077221</v>
      </c>
      <c r="F91" s="3">
        <f t="shared" si="64"/>
        <v>1.3409961685823755</v>
      </c>
      <c r="G91" s="3">
        <f t="shared" si="64"/>
        <v>9.6982758620689662</v>
      </c>
      <c r="H91" s="3">
        <f>MIN(B91:G91)</f>
        <v>0.77220077220077221</v>
      </c>
      <c r="I91" s="3">
        <f>MAX(B91:G91)</f>
        <v>9.6982758620689662</v>
      </c>
      <c r="J91" s="7">
        <f>AVERAGE(B91:G91)</f>
        <v>2.8347116364799572</v>
      </c>
      <c r="M91" s="3">
        <f t="shared" ref="M91:AS91" si="65">M89/M88*100</f>
        <v>-0.48309178743961351</v>
      </c>
      <c r="N91" s="3">
        <f t="shared" si="65"/>
        <v>0</v>
      </c>
      <c r="O91" s="3">
        <f t="shared" si="65"/>
        <v>0</v>
      </c>
      <c r="P91" s="3">
        <f t="shared" si="65"/>
        <v>0.47619047619047622</v>
      </c>
      <c r="Q91" s="3">
        <f t="shared" si="65"/>
        <v>-0.48543689320388345</v>
      </c>
      <c r="R91" s="3">
        <f t="shared" si="65"/>
        <v>0.49019607843137253</v>
      </c>
      <c r="S91" s="3">
        <f t="shared" si="65"/>
        <v>0</v>
      </c>
      <c r="T91" s="3">
        <f t="shared" si="65"/>
        <v>0</v>
      </c>
      <c r="U91" s="3">
        <f t="shared" si="65"/>
        <v>0</v>
      </c>
      <c r="V91" s="3">
        <f t="shared" si="65"/>
        <v>0</v>
      </c>
      <c r="W91" s="3">
        <f t="shared" si="65"/>
        <v>0</v>
      </c>
      <c r="X91" s="3">
        <f t="shared" si="65"/>
        <v>0</v>
      </c>
      <c r="Y91" s="3">
        <f t="shared" si="65"/>
        <v>0</v>
      </c>
      <c r="Z91" s="3">
        <f t="shared" si="65"/>
        <v>0</v>
      </c>
      <c r="AA91" s="3">
        <f t="shared" si="65"/>
        <v>0</v>
      </c>
      <c r="AB91" s="3">
        <f t="shared" si="65"/>
        <v>-6.1855670103092786</v>
      </c>
      <c r="AC91" s="3">
        <f t="shared" si="65"/>
        <v>8.064516129032258</v>
      </c>
      <c r="AD91" s="3">
        <f t="shared" si="65"/>
        <v>0.99009900990099009</v>
      </c>
      <c r="AE91" s="3">
        <f t="shared" si="65"/>
        <v>0</v>
      </c>
      <c r="AF91" s="3">
        <f t="shared" si="65"/>
        <v>0</v>
      </c>
      <c r="AG91" s="3">
        <f t="shared" si="65"/>
        <v>0</v>
      </c>
      <c r="AH91" s="3">
        <f t="shared" si="65"/>
        <v>0</v>
      </c>
      <c r="AI91" s="3">
        <f t="shared" si="65"/>
        <v>0</v>
      </c>
      <c r="AJ91" s="3">
        <f t="shared" si="65"/>
        <v>1</v>
      </c>
      <c r="AK91" s="3">
        <f t="shared" si="65"/>
        <v>-0.49019607843137253</v>
      </c>
      <c r="AL91" s="3">
        <f t="shared" si="65"/>
        <v>0</v>
      </c>
      <c r="AM91" s="3">
        <f t="shared" si="65"/>
        <v>-0.49261083743842365</v>
      </c>
      <c r="AN91" s="3">
        <f t="shared" si="65"/>
        <v>0</v>
      </c>
      <c r="AO91" s="3">
        <f t="shared" si="65"/>
        <v>0.48780487804878048</v>
      </c>
      <c r="AP91" s="3">
        <f t="shared" si="65"/>
        <v>0</v>
      </c>
      <c r="AQ91" s="3">
        <f t="shared" si="65"/>
        <v>0</v>
      </c>
      <c r="AR91" s="3">
        <f t="shared" si="65"/>
        <v>0</v>
      </c>
      <c r="AS91" s="3">
        <f t="shared" si="65"/>
        <v>0</v>
      </c>
      <c r="AT91" s="3">
        <f>MIN(M91:AS91)</f>
        <v>-6.1855670103092786</v>
      </c>
      <c r="AU91" s="3">
        <f>MAX(M91:AS91)</f>
        <v>8.064516129032258</v>
      </c>
      <c r="AV91" s="7">
        <f>AVERAGE(M91:AS91)</f>
        <v>0.10217890802367592</v>
      </c>
    </row>
    <row r="92" spans="1:48" x14ac:dyDescent="0.15">
      <c r="B92" s="3"/>
      <c r="C92" s="3"/>
      <c r="D92" s="3"/>
      <c r="E92" s="3"/>
      <c r="F92" s="3"/>
      <c r="G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</row>
    <row r="93" spans="1:48" x14ac:dyDescent="0.15">
      <c r="A93" s="1" t="s">
        <v>37</v>
      </c>
      <c r="B93" s="3">
        <v>530</v>
      </c>
      <c r="C93" s="3">
        <v>531</v>
      </c>
      <c r="D93" s="3">
        <v>524</v>
      </c>
      <c r="E93" s="3">
        <v>524</v>
      </c>
      <c r="F93" s="3">
        <v>531</v>
      </c>
      <c r="G93" s="3">
        <v>507</v>
      </c>
      <c r="H93" s="3">
        <f>MIN(B93:G93)</f>
        <v>507</v>
      </c>
      <c r="I93" s="3">
        <f>MAX(B93:G93)</f>
        <v>531</v>
      </c>
      <c r="J93" s="3">
        <f>AVERAGE(B93:G93)</f>
        <v>524.5</v>
      </c>
      <c r="M93" s="3">
        <v>206</v>
      </c>
      <c r="N93" s="3">
        <v>205</v>
      </c>
      <c r="O93" s="3">
        <v>200</v>
      </c>
      <c r="P93" s="3">
        <v>211</v>
      </c>
      <c r="Q93" s="3">
        <v>205</v>
      </c>
      <c r="R93" s="3">
        <v>205</v>
      </c>
      <c r="S93" s="3">
        <v>206</v>
      </c>
      <c r="T93" s="3">
        <v>194</v>
      </c>
      <c r="U93" s="3">
        <v>205</v>
      </c>
      <c r="V93" s="3">
        <v>200</v>
      </c>
      <c r="W93" s="3">
        <v>203</v>
      </c>
      <c r="X93" s="3">
        <v>192</v>
      </c>
      <c r="Y93" s="3">
        <v>203</v>
      </c>
      <c r="Z93" s="3">
        <v>200</v>
      </c>
      <c r="AA93" s="3">
        <v>209</v>
      </c>
      <c r="AB93" s="3">
        <v>196</v>
      </c>
      <c r="AC93" s="3">
        <v>201</v>
      </c>
      <c r="AD93" s="3">
        <v>203</v>
      </c>
      <c r="AE93" s="3">
        <v>210</v>
      </c>
      <c r="AF93" s="3">
        <v>207</v>
      </c>
      <c r="AG93" s="3">
        <v>206</v>
      </c>
      <c r="AH93" s="3">
        <v>200</v>
      </c>
      <c r="AI93" s="3">
        <v>201</v>
      </c>
      <c r="AJ93" s="3">
        <v>202</v>
      </c>
      <c r="AK93" s="3">
        <v>203</v>
      </c>
      <c r="AL93" s="3">
        <v>200</v>
      </c>
      <c r="AM93" s="3">
        <v>202</v>
      </c>
      <c r="AN93" s="3">
        <v>213</v>
      </c>
      <c r="AO93" s="3">
        <v>206</v>
      </c>
      <c r="AP93" s="3">
        <v>197</v>
      </c>
      <c r="AQ93" s="3">
        <v>203</v>
      </c>
      <c r="AR93" s="3">
        <v>203</v>
      </c>
      <c r="AS93" s="3">
        <v>203</v>
      </c>
      <c r="AT93" s="3">
        <f>MIN(M93:AS93)</f>
        <v>192</v>
      </c>
      <c r="AU93" s="3">
        <f>MAX(M93:AS93)</f>
        <v>213</v>
      </c>
      <c r="AV93" s="3">
        <f>AVERAGE(M93:AS93)</f>
        <v>203.03030303030303</v>
      </c>
    </row>
    <row r="94" spans="1:48" x14ac:dyDescent="0.15">
      <c r="A94" s="1" t="s">
        <v>37</v>
      </c>
      <c r="B94" s="3">
        <v>522</v>
      </c>
      <c r="C94" s="3">
        <v>522</v>
      </c>
      <c r="D94" s="3">
        <v>520</v>
      </c>
      <c r="E94" s="3">
        <v>520</v>
      </c>
      <c r="F94" s="3">
        <v>521</v>
      </c>
      <c r="G94" s="3">
        <v>521</v>
      </c>
      <c r="H94" s="3">
        <f>MIN(B94:G94)</f>
        <v>520</v>
      </c>
      <c r="I94" s="3">
        <f>MAX(B94:G94)</f>
        <v>522</v>
      </c>
      <c r="J94" s="3">
        <f>AVERAGE(B94:G94)</f>
        <v>521</v>
      </c>
      <c r="M94" s="3">
        <v>192</v>
      </c>
      <c r="N94" s="3">
        <v>205</v>
      </c>
      <c r="O94" s="3">
        <v>200</v>
      </c>
      <c r="P94" s="3">
        <v>211</v>
      </c>
      <c r="Q94" s="3">
        <v>206</v>
      </c>
      <c r="R94" s="3">
        <v>205</v>
      </c>
      <c r="S94" s="3">
        <v>206</v>
      </c>
      <c r="T94" s="3">
        <v>212</v>
      </c>
      <c r="U94" s="3">
        <v>205</v>
      </c>
      <c r="V94" s="3">
        <v>201</v>
      </c>
      <c r="W94" s="3">
        <v>203</v>
      </c>
      <c r="X94" s="3">
        <v>204</v>
      </c>
      <c r="Y94" s="3">
        <v>203</v>
      </c>
      <c r="Z94" s="3">
        <v>199</v>
      </c>
      <c r="AA94" s="3">
        <v>209</v>
      </c>
      <c r="AB94" s="3">
        <v>197</v>
      </c>
      <c r="AC94" s="3">
        <v>201</v>
      </c>
      <c r="AD94" s="3">
        <v>204</v>
      </c>
      <c r="AE94" s="3">
        <v>211</v>
      </c>
      <c r="AF94" s="3">
        <v>208</v>
      </c>
      <c r="AG94" s="3">
        <v>207</v>
      </c>
      <c r="AH94" s="3">
        <v>200</v>
      </c>
      <c r="AI94" s="3">
        <v>201</v>
      </c>
      <c r="AJ94" s="3">
        <v>202</v>
      </c>
      <c r="AK94" s="3">
        <v>203</v>
      </c>
      <c r="AL94" s="3">
        <v>201</v>
      </c>
      <c r="AM94" s="3">
        <v>202</v>
      </c>
      <c r="AN94" s="3">
        <v>213</v>
      </c>
      <c r="AO94" s="3">
        <v>206</v>
      </c>
      <c r="AP94" s="3">
        <v>197</v>
      </c>
      <c r="AQ94" s="3">
        <v>203</v>
      </c>
      <c r="AR94" s="3">
        <v>203</v>
      </c>
      <c r="AS94" s="3">
        <v>203</v>
      </c>
      <c r="AT94" s="3">
        <f>MIN(M94:AS94)</f>
        <v>192</v>
      </c>
      <c r="AU94" s="3">
        <f>MAX(M94:AS94)</f>
        <v>213</v>
      </c>
      <c r="AV94" s="3">
        <f>AVERAGE(M94:AS94)</f>
        <v>203.72727272727272</v>
      </c>
    </row>
    <row r="95" spans="1:48" x14ac:dyDescent="0.15">
      <c r="A95" s="6" t="s">
        <v>39</v>
      </c>
      <c r="B95">
        <f t="shared" ref="B95:G95" si="66">B93-B94</f>
        <v>8</v>
      </c>
      <c r="C95">
        <f t="shared" si="66"/>
        <v>9</v>
      </c>
      <c r="D95">
        <f t="shared" si="66"/>
        <v>4</v>
      </c>
      <c r="E95">
        <f t="shared" si="66"/>
        <v>4</v>
      </c>
      <c r="F95">
        <f t="shared" si="66"/>
        <v>10</v>
      </c>
      <c r="G95">
        <f t="shared" si="66"/>
        <v>-14</v>
      </c>
      <c r="H95" s="3">
        <f>MIN(B95:G95)</f>
        <v>-14</v>
      </c>
      <c r="I95" s="3">
        <f>MAX(B95:G95)</f>
        <v>10</v>
      </c>
      <c r="J95" s="3">
        <f>AVERAGE(B95:G95)</f>
        <v>3.5</v>
      </c>
      <c r="M95">
        <f t="shared" ref="M95:AS95" si="67">M93-M94</f>
        <v>14</v>
      </c>
      <c r="N95">
        <f t="shared" si="67"/>
        <v>0</v>
      </c>
      <c r="O95">
        <f t="shared" si="67"/>
        <v>0</v>
      </c>
      <c r="P95">
        <f t="shared" si="67"/>
        <v>0</v>
      </c>
      <c r="Q95">
        <f t="shared" si="67"/>
        <v>-1</v>
      </c>
      <c r="R95">
        <f t="shared" si="67"/>
        <v>0</v>
      </c>
      <c r="S95">
        <f t="shared" si="67"/>
        <v>0</v>
      </c>
      <c r="T95">
        <f t="shared" si="67"/>
        <v>-18</v>
      </c>
      <c r="U95">
        <f t="shared" si="67"/>
        <v>0</v>
      </c>
      <c r="V95">
        <f t="shared" si="67"/>
        <v>-1</v>
      </c>
      <c r="W95">
        <f t="shared" si="67"/>
        <v>0</v>
      </c>
      <c r="X95">
        <f t="shared" si="67"/>
        <v>-12</v>
      </c>
      <c r="Y95">
        <f t="shared" si="67"/>
        <v>0</v>
      </c>
      <c r="Z95">
        <f t="shared" si="67"/>
        <v>1</v>
      </c>
      <c r="AA95">
        <f t="shared" si="67"/>
        <v>0</v>
      </c>
      <c r="AB95">
        <f t="shared" si="67"/>
        <v>-1</v>
      </c>
      <c r="AC95">
        <f t="shared" si="67"/>
        <v>0</v>
      </c>
      <c r="AD95">
        <f t="shared" si="67"/>
        <v>-1</v>
      </c>
      <c r="AE95">
        <f t="shared" si="67"/>
        <v>-1</v>
      </c>
      <c r="AF95">
        <f t="shared" si="67"/>
        <v>-1</v>
      </c>
      <c r="AG95">
        <f t="shared" si="67"/>
        <v>-1</v>
      </c>
      <c r="AH95">
        <f t="shared" si="67"/>
        <v>0</v>
      </c>
      <c r="AI95">
        <f t="shared" si="67"/>
        <v>0</v>
      </c>
      <c r="AJ95">
        <f t="shared" si="67"/>
        <v>0</v>
      </c>
      <c r="AK95">
        <f t="shared" si="67"/>
        <v>0</v>
      </c>
      <c r="AL95">
        <f t="shared" si="67"/>
        <v>-1</v>
      </c>
      <c r="AM95">
        <f t="shared" si="67"/>
        <v>0</v>
      </c>
      <c r="AN95">
        <f t="shared" si="67"/>
        <v>0</v>
      </c>
      <c r="AO95">
        <f t="shared" si="67"/>
        <v>0</v>
      </c>
      <c r="AP95">
        <f t="shared" si="67"/>
        <v>0</v>
      </c>
      <c r="AQ95">
        <f t="shared" si="67"/>
        <v>0</v>
      </c>
      <c r="AR95">
        <f t="shared" si="67"/>
        <v>0</v>
      </c>
      <c r="AS95">
        <f t="shared" si="67"/>
        <v>0</v>
      </c>
      <c r="AT95" s="3">
        <f>MIN(M95:AS95)</f>
        <v>-18</v>
      </c>
      <c r="AU95" s="3">
        <f>MAX(M95:AS95)</f>
        <v>14</v>
      </c>
      <c r="AV95" s="3">
        <f>AVERAGE(M95:AS95)</f>
        <v>-0.69696969696969702</v>
      </c>
    </row>
    <row r="96" spans="1:48" x14ac:dyDescent="0.15">
      <c r="A96" s="6" t="s">
        <v>40</v>
      </c>
      <c r="B96" s="3">
        <f t="shared" ref="B96:G96" si="68">B95/B93*100</f>
        <v>1.5094339622641511</v>
      </c>
      <c r="C96" s="3">
        <f t="shared" si="68"/>
        <v>1.6949152542372881</v>
      </c>
      <c r="D96" s="3">
        <f t="shared" si="68"/>
        <v>0.76335877862595414</v>
      </c>
      <c r="E96" s="3">
        <f t="shared" si="68"/>
        <v>0.76335877862595414</v>
      </c>
      <c r="F96" s="3">
        <f t="shared" si="68"/>
        <v>1.8832391713747645</v>
      </c>
      <c r="G96" s="3">
        <f t="shared" si="68"/>
        <v>-2.7613412228796843</v>
      </c>
      <c r="H96" s="3">
        <f>MIN(B96:G96)</f>
        <v>-2.7613412228796843</v>
      </c>
      <c r="I96" s="3">
        <f>MAX(B96:G96)</f>
        <v>1.8832391713747645</v>
      </c>
      <c r="J96" s="7">
        <f>AVERAGE(B96:G96)</f>
        <v>0.64216078704140467</v>
      </c>
      <c r="M96" s="3">
        <f t="shared" ref="M96:AS96" si="69">M95/M93*100</f>
        <v>6.7961165048543686</v>
      </c>
      <c r="N96" s="3">
        <f t="shared" si="69"/>
        <v>0</v>
      </c>
      <c r="O96" s="3">
        <f t="shared" si="69"/>
        <v>0</v>
      </c>
      <c r="P96" s="3">
        <f t="shared" si="69"/>
        <v>0</v>
      </c>
      <c r="Q96" s="3">
        <f t="shared" si="69"/>
        <v>-0.48780487804878048</v>
      </c>
      <c r="R96" s="3">
        <f t="shared" si="69"/>
        <v>0</v>
      </c>
      <c r="S96" s="3">
        <f t="shared" si="69"/>
        <v>0</v>
      </c>
      <c r="T96" s="3">
        <f t="shared" si="69"/>
        <v>-9.2783505154639183</v>
      </c>
      <c r="U96" s="3">
        <f t="shared" si="69"/>
        <v>0</v>
      </c>
      <c r="V96" s="3">
        <f t="shared" si="69"/>
        <v>-0.5</v>
      </c>
      <c r="W96" s="3">
        <f t="shared" si="69"/>
        <v>0</v>
      </c>
      <c r="X96" s="3">
        <f t="shared" si="69"/>
        <v>-6.25</v>
      </c>
      <c r="Y96" s="3">
        <f t="shared" si="69"/>
        <v>0</v>
      </c>
      <c r="Z96" s="3">
        <f t="shared" si="69"/>
        <v>0.5</v>
      </c>
      <c r="AA96" s="3">
        <f t="shared" si="69"/>
        <v>0</v>
      </c>
      <c r="AB96" s="3">
        <f t="shared" si="69"/>
        <v>-0.51020408163265307</v>
      </c>
      <c r="AC96" s="3">
        <f t="shared" si="69"/>
        <v>0</v>
      </c>
      <c r="AD96" s="3">
        <f t="shared" si="69"/>
        <v>-0.49261083743842365</v>
      </c>
      <c r="AE96" s="3">
        <f t="shared" si="69"/>
        <v>-0.47619047619047622</v>
      </c>
      <c r="AF96" s="3">
        <f t="shared" si="69"/>
        <v>-0.48309178743961351</v>
      </c>
      <c r="AG96" s="3">
        <f t="shared" si="69"/>
        <v>-0.48543689320388345</v>
      </c>
      <c r="AH96" s="3">
        <f t="shared" si="69"/>
        <v>0</v>
      </c>
      <c r="AI96" s="3">
        <f t="shared" si="69"/>
        <v>0</v>
      </c>
      <c r="AJ96" s="3">
        <f t="shared" si="69"/>
        <v>0</v>
      </c>
      <c r="AK96" s="3">
        <f t="shared" si="69"/>
        <v>0</v>
      </c>
      <c r="AL96" s="3">
        <f t="shared" si="69"/>
        <v>-0.5</v>
      </c>
      <c r="AM96" s="3">
        <f t="shared" si="69"/>
        <v>0</v>
      </c>
      <c r="AN96" s="3">
        <f t="shared" si="69"/>
        <v>0</v>
      </c>
      <c r="AO96" s="3">
        <f t="shared" si="69"/>
        <v>0</v>
      </c>
      <c r="AP96" s="3">
        <f t="shared" si="69"/>
        <v>0</v>
      </c>
      <c r="AQ96" s="3">
        <f t="shared" si="69"/>
        <v>0</v>
      </c>
      <c r="AR96" s="3">
        <f t="shared" si="69"/>
        <v>0</v>
      </c>
      <c r="AS96" s="3">
        <f t="shared" si="69"/>
        <v>0</v>
      </c>
      <c r="AT96" s="3">
        <f>MIN(M96:AS96)</f>
        <v>-9.2783505154639183</v>
      </c>
      <c r="AU96" s="3">
        <f>MAX(M96:AS96)</f>
        <v>6.7961165048543686</v>
      </c>
      <c r="AV96" s="7">
        <f>AVERAGE(M96:AS96)</f>
        <v>-0.36871433225949635</v>
      </c>
    </row>
    <row r="97" spans="1:48" x14ac:dyDescent="0.15">
      <c r="A97" s="6" t="s">
        <v>41</v>
      </c>
      <c r="B97" s="3">
        <f t="shared" ref="B97:G97" si="70">B95/B94*100</f>
        <v>1.5325670498084289</v>
      </c>
      <c r="C97" s="3">
        <f t="shared" si="70"/>
        <v>1.7241379310344827</v>
      </c>
      <c r="D97" s="3">
        <f t="shared" si="70"/>
        <v>0.76923076923076927</v>
      </c>
      <c r="E97" s="3">
        <f t="shared" si="70"/>
        <v>0.76923076923076927</v>
      </c>
      <c r="F97" s="3">
        <f t="shared" si="70"/>
        <v>1.9193857965451053</v>
      </c>
      <c r="G97" s="3">
        <f t="shared" si="70"/>
        <v>-2.6871401151631478</v>
      </c>
      <c r="H97" s="3">
        <f>MIN(B97:G97)</f>
        <v>-2.6871401151631478</v>
      </c>
      <c r="I97" s="3">
        <f>MAX(B97:G97)</f>
        <v>1.9193857965451053</v>
      </c>
      <c r="J97" s="7">
        <f>AVERAGE(B97:G97)</f>
        <v>0.67123536678106799</v>
      </c>
      <c r="M97" s="3">
        <f t="shared" ref="M97:AS97" si="71">M95/M94*100</f>
        <v>7.291666666666667</v>
      </c>
      <c r="N97" s="3">
        <f t="shared" si="71"/>
        <v>0</v>
      </c>
      <c r="O97" s="3">
        <f t="shared" si="71"/>
        <v>0</v>
      </c>
      <c r="P97" s="3">
        <f t="shared" si="71"/>
        <v>0</v>
      </c>
      <c r="Q97" s="3">
        <f t="shared" si="71"/>
        <v>-0.48543689320388345</v>
      </c>
      <c r="R97" s="3">
        <f t="shared" si="71"/>
        <v>0</v>
      </c>
      <c r="S97" s="3">
        <f t="shared" si="71"/>
        <v>0</v>
      </c>
      <c r="T97" s="3">
        <f t="shared" si="71"/>
        <v>-8.4905660377358494</v>
      </c>
      <c r="U97" s="3">
        <f t="shared" si="71"/>
        <v>0</v>
      </c>
      <c r="V97" s="3">
        <f t="shared" si="71"/>
        <v>-0.49751243781094528</v>
      </c>
      <c r="W97" s="3">
        <f t="shared" si="71"/>
        <v>0</v>
      </c>
      <c r="X97" s="3">
        <f t="shared" si="71"/>
        <v>-5.8823529411764701</v>
      </c>
      <c r="Y97" s="3">
        <f t="shared" si="71"/>
        <v>0</v>
      </c>
      <c r="Z97" s="3">
        <f t="shared" si="71"/>
        <v>0.50251256281407031</v>
      </c>
      <c r="AA97" s="3">
        <f t="shared" si="71"/>
        <v>0</v>
      </c>
      <c r="AB97" s="3">
        <f t="shared" si="71"/>
        <v>-0.50761421319796951</v>
      </c>
      <c r="AC97" s="3">
        <f t="shared" si="71"/>
        <v>0</v>
      </c>
      <c r="AD97" s="3">
        <f t="shared" si="71"/>
        <v>-0.49019607843137253</v>
      </c>
      <c r="AE97" s="3">
        <f t="shared" si="71"/>
        <v>-0.47393364928909953</v>
      </c>
      <c r="AF97" s="3">
        <f t="shared" si="71"/>
        <v>-0.48076923076923078</v>
      </c>
      <c r="AG97" s="3">
        <f t="shared" si="71"/>
        <v>-0.48309178743961351</v>
      </c>
      <c r="AH97" s="3">
        <f t="shared" si="71"/>
        <v>0</v>
      </c>
      <c r="AI97" s="3">
        <f t="shared" si="71"/>
        <v>0</v>
      </c>
      <c r="AJ97" s="3">
        <f t="shared" si="71"/>
        <v>0</v>
      </c>
      <c r="AK97" s="3">
        <f t="shared" si="71"/>
        <v>0</v>
      </c>
      <c r="AL97" s="3">
        <f t="shared" si="71"/>
        <v>-0.49751243781094528</v>
      </c>
      <c r="AM97" s="3">
        <f t="shared" si="71"/>
        <v>0</v>
      </c>
      <c r="AN97" s="3">
        <f t="shared" si="71"/>
        <v>0</v>
      </c>
      <c r="AO97" s="3">
        <f t="shared" si="71"/>
        <v>0</v>
      </c>
      <c r="AP97" s="3">
        <f t="shared" si="71"/>
        <v>0</v>
      </c>
      <c r="AQ97" s="3">
        <f t="shared" si="71"/>
        <v>0</v>
      </c>
      <c r="AR97" s="3">
        <f t="shared" si="71"/>
        <v>0</v>
      </c>
      <c r="AS97" s="3">
        <f t="shared" si="71"/>
        <v>0</v>
      </c>
      <c r="AT97" s="3">
        <f>MIN(M97:AS97)</f>
        <v>-8.4905660377358494</v>
      </c>
      <c r="AU97" s="3">
        <f>MAX(M97:AS97)</f>
        <v>7.291666666666667</v>
      </c>
      <c r="AV97" s="7">
        <f>AVERAGE(M97:AS97)</f>
        <v>-0.31802443870862551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8"/>
  <sheetViews>
    <sheetView workbookViewId="0">
      <selection activeCell="A44" sqref="A44"/>
    </sheetView>
  </sheetViews>
  <sheetFormatPr defaultRowHeight="13.5" x14ac:dyDescent="0.15"/>
  <cols>
    <col min="1" max="1" width="22" bestFit="1" customWidth="1"/>
    <col min="2" max="2" width="12.75" style="3" bestFit="1" customWidth="1"/>
    <col min="3" max="3" width="6.5" style="3" customWidth="1"/>
    <col min="4" max="4" width="13.875" style="3" bestFit="1" customWidth="1"/>
    <col min="6" max="6" width="4.5" bestFit="1" customWidth="1"/>
    <col min="7" max="9" width="17" bestFit="1" customWidth="1"/>
    <col min="10" max="12" width="15.75" bestFit="1" customWidth="1"/>
    <col min="13" max="13" width="12.75" bestFit="1" customWidth="1"/>
    <col min="14" max="14" width="13.25" bestFit="1" customWidth="1"/>
    <col min="15" max="17" width="12.75" bestFit="1" customWidth="1"/>
    <col min="18" max="18" width="13.875" bestFit="1" customWidth="1"/>
  </cols>
  <sheetData>
    <row r="1" spans="1:19" x14ac:dyDescent="0.15">
      <c r="A1" s="1" t="s">
        <v>60</v>
      </c>
      <c r="B1" s="12" t="s">
        <v>62</v>
      </c>
      <c r="C1" s="12"/>
      <c r="D1" s="12" t="s">
        <v>63</v>
      </c>
    </row>
    <row r="2" spans="1:19" x14ac:dyDescent="0.15">
      <c r="A2" s="5" t="s">
        <v>61</v>
      </c>
      <c r="B2" s="2"/>
      <c r="C2" s="2"/>
      <c r="D2" s="2"/>
      <c r="F2" s="11" t="s">
        <v>45</v>
      </c>
      <c r="G2" s="4" t="s">
        <v>47</v>
      </c>
      <c r="H2" s="4" t="s">
        <v>48</v>
      </c>
      <c r="I2" s="4" t="s">
        <v>49</v>
      </c>
      <c r="J2" s="1" t="s">
        <v>50</v>
      </c>
      <c r="K2" s="1" t="s">
        <v>51</v>
      </c>
      <c r="L2" s="1" t="s">
        <v>52</v>
      </c>
      <c r="M2" s="1" t="s">
        <v>53</v>
      </c>
      <c r="N2" s="1" t="s">
        <v>54</v>
      </c>
      <c r="O2" s="1" t="s">
        <v>55</v>
      </c>
      <c r="P2" s="1" t="s">
        <v>56</v>
      </c>
      <c r="Q2" s="1" t="s">
        <v>57</v>
      </c>
      <c r="R2" s="1" t="s">
        <v>58</v>
      </c>
    </row>
    <row r="3" spans="1:19" x14ac:dyDescent="0.15">
      <c r="A3" s="1" t="s">
        <v>17</v>
      </c>
      <c r="B3" s="7">
        <v>46.958309282751735</v>
      </c>
      <c r="D3" s="7">
        <v>43.829685822367608</v>
      </c>
      <c r="F3" s="11"/>
      <c r="G3" s="7">
        <v>89.013317986665868</v>
      </c>
      <c r="H3" s="7">
        <v>60.588306424668623</v>
      </c>
      <c r="I3" s="7">
        <v>0.48970369057459173</v>
      </c>
      <c r="J3" s="7">
        <v>11.799342506845255</v>
      </c>
      <c r="K3" s="7">
        <v>6.2737637654772458</v>
      </c>
      <c r="L3" s="7">
        <v>0.86321845115848095</v>
      </c>
      <c r="M3" s="7">
        <v>60.502914711852206</v>
      </c>
      <c r="N3" s="7">
        <v>82.565588868636283</v>
      </c>
      <c r="O3" s="7">
        <v>84.050520818520852</v>
      </c>
      <c r="P3" s="7">
        <v>0.28741405708661388</v>
      </c>
      <c r="Q3" s="7">
        <v>2.8347116364799572</v>
      </c>
      <c r="R3" s="7">
        <v>0.67123536678106799</v>
      </c>
    </row>
    <row r="4" spans="1:19" x14ac:dyDescent="0.15">
      <c r="A4" s="1" t="s">
        <v>17</v>
      </c>
      <c r="B4" s="7">
        <v>89.013317986665868</v>
      </c>
      <c r="D4" s="7">
        <v>78.078623970509625</v>
      </c>
    </row>
    <row r="6" spans="1:19" x14ac:dyDescent="0.15">
      <c r="A6" s="1" t="s">
        <v>18</v>
      </c>
      <c r="B6" s="7">
        <v>37.548455471301217</v>
      </c>
      <c r="D6" s="7">
        <v>44.830649886895145</v>
      </c>
    </row>
    <row r="7" spans="1:19" x14ac:dyDescent="0.15">
      <c r="A7" s="1" t="s">
        <v>18</v>
      </c>
      <c r="B7" s="7">
        <v>60.588306424668623</v>
      </c>
      <c r="D7" s="7">
        <v>81.298663972935415</v>
      </c>
    </row>
    <row r="8" spans="1:19" x14ac:dyDescent="0.15"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9" x14ac:dyDescent="0.15">
      <c r="A9" s="1" t="s">
        <v>19</v>
      </c>
      <c r="B9" s="7">
        <v>0.15493003029259497</v>
      </c>
      <c r="D9" s="7">
        <v>48.846439747520861</v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9" x14ac:dyDescent="0.15">
      <c r="A10" s="1" t="s">
        <v>19</v>
      </c>
      <c r="B10" s="7">
        <v>0.48970369057459173</v>
      </c>
      <c r="D10" s="7">
        <v>95.818607491295396</v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9" x14ac:dyDescent="0.15"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9" x14ac:dyDescent="0.15"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9" x14ac:dyDescent="0.15"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9" x14ac:dyDescent="0.15"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9" x14ac:dyDescent="0.15">
      <c r="B15" s="2"/>
      <c r="C15" s="2"/>
      <c r="D15" s="2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9" x14ac:dyDescent="0.15"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x14ac:dyDescent="0.15"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x14ac:dyDescent="0.15">
      <c r="A18" s="5" t="s">
        <v>61</v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x14ac:dyDescent="0.15">
      <c r="A19" s="1" t="s">
        <v>23</v>
      </c>
      <c r="B19" s="7">
        <v>10.540445716248676</v>
      </c>
      <c r="D19" s="7">
        <v>1.0935390752107743</v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x14ac:dyDescent="0.15">
      <c r="A20" s="1" t="s">
        <v>23</v>
      </c>
      <c r="B20" s="7">
        <v>11.799342506845255</v>
      </c>
      <c r="D20" s="7">
        <v>1.1058979536350522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x14ac:dyDescent="0.15"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x14ac:dyDescent="0.15">
      <c r="A22" s="1" t="s">
        <v>24</v>
      </c>
      <c r="B22" s="7">
        <v>5.8873587565234233</v>
      </c>
      <c r="D22" s="7">
        <v>1.1797662436395497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x14ac:dyDescent="0.15">
      <c r="A23" s="1" t="s">
        <v>24</v>
      </c>
      <c r="B23" s="7">
        <v>6.2737637654772458</v>
      </c>
      <c r="D23" s="7">
        <v>1.1943673211206882</v>
      </c>
      <c r="F23" s="11" t="s">
        <v>46</v>
      </c>
      <c r="G23" s="4" t="s">
        <v>47</v>
      </c>
      <c r="H23" s="4" t="s">
        <v>48</v>
      </c>
      <c r="I23" s="4" t="s">
        <v>49</v>
      </c>
      <c r="J23" s="1" t="s">
        <v>50</v>
      </c>
      <c r="K23" s="1" t="s">
        <v>51</v>
      </c>
      <c r="L23" s="1" t="s">
        <v>52</v>
      </c>
      <c r="M23" s="1" t="s">
        <v>53</v>
      </c>
      <c r="N23" s="1" t="s">
        <v>54</v>
      </c>
      <c r="O23" s="1" t="s">
        <v>55</v>
      </c>
      <c r="P23" s="1" t="s">
        <v>56</v>
      </c>
      <c r="Q23" s="1" t="s">
        <v>57</v>
      </c>
      <c r="R23" s="1" t="s">
        <v>58</v>
      </c>
      <c r="S23" s="3"/>
    </row>
    <row r="24" spans="1:19" x14ac:dyDescent="0.15">
      <c r="F24" s="11"/>
      <c r="G24" s="7">
        <v>78.078623970509625</v>
      </c>
      <c r="H24" s="7">
        <v>81.298663972935415</v>
      </c>
      <c r="I24" s="7">
        <v>95.818607491295396</v>
      </c>
      <c r="J24" s="7">
        <v>1.1058979536350522</v>
      </c>
      <c r="K24" s="7">
        <v>1.1943673211206882</v>
      </c>
      <c r="L24" s="7">
        <v>1.0818006951921866</v>
      </c>
      <c r="M24" s="7">
        <v>2.3795337293404</v>
      </c>
      <c r="N24" s="7">
        <v>0.7372959171120308</v>
      </c>
      <c r="O24" s="7">
        <v>1.9267641222209366</v>
      </c>
      <c r="P24" s="7">
        <v>0.25438767192087258</v>
      </c>
      <c r="Q24" s="7">
        <v>0.10217890802367592</v>
      </c>
      <c r="R24" s="7">
        <v>-0.31802443870862551</v>
      </c>
      <c r="S24" s="3"/>
    </row>
    <row r="25" spans="1:19" x14ac:dyDescent="0.15">
      <c r="A25" s="1" t="s">
        <v>25</v>
      </c>
      <c r="B25" s="7">
        <v>0.85012071771793563</v>
      </c>
      <c r="D25" s="7">
        <v>1.0508209772022372</v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x14ac:dyDescent="0.15">
      <c r="A26" s="1" t="s">
        <v>25</v>
      </c>
      <c r="B26" s="7">
        <v>0.86321845115848095</v>
      </c>
      <c r="D26" s="7">
        <v>1.0818006951921866</v>
      </c>
      <c r="S26" s="3"/>
    </row>
    <row r="27" spans="1:19" x14ac:dyDescent="0.15">
      <c r="B27" s="2"/>
      <c r="C27" s="2"/>
      <c r="D27" s="2"/>
    </row>
    <row r="34" spans="1:4" x14ac:dyDescent="0.15">
      <c r="A34" s="5" t="s">
        <v>61</v>
      </c>
    </row>
    <row r="35" spans="1:4" x14ac:dyDescent="0.15">
      <c r="A35" s="1" t="s">
        <v>29</v>
      </c>
      <c r="B35" s="7">
        <v>37.479390484710663</v>
      </c>
      <c r="D35" s="7">
        <v>2.2518158147805099</v>
      </c>
    </row>
    <row r="36" spans="1:4" x14ac:dyDescent="0.15">
      <c r="A36" s="1" t="s">
        <v>29</v>
      </c>
      <c r="B36" s="7">
        <v>60.502914711852206</v>
      </c>
      <c r="D36" s="7">
        <v>2.3795337293404</v>
      </c>
    </row>
    <row r="38" spans="1:4" x14ac:dyDescent="0.15">
      <c r="A38" s="1" t="s">
        <v>30</v>
      </c>
      <c r="B38" s="7">
        <v>45.043679377810314</v>
      </c>
      <c r="D38" s="7">
        <v>0.65497950274663663</v>
      </c>
    </row>
    <row r="39" spans="1:4" x14ac:dyDescent="0.15">
      <c r="A39" s="1" t="s">
        <v>30</v>
      </c>
      <c r="B39" s="7">
        <v>82.565588868636283</v>
      </c>
      <c r="D39" s="7">
        <v>0.7372959171120308</v>
      </c>
    </row>
    <row r="41" spans="1:4" x14ac:dyDescent="0.15">
      <c r="A41" s="1" t="s">
        <v>31</v>
      </c>
      <c r="B41" s="7">
        <v>45.558968933656409</v>
      </c>
      <c r="D41" s="7">
        <v>1.842368517192096</v>
      </c>
    </row>
    <row r="42" spans="1:4" x14ac:dyDescent="0.15">
      <c r="A42" s="1" t="s">
        <v>31</v>
      </c>
      <c r="B42" s="7">
        <v>84.050520818520852</v>
      </c>
      <c r="D42" s="7">
        <v>1.9267641222209366</v>
      </c>
    </row>
    <row r="50" spans="1:4" x14ac:dyDescent="0.15">
      <c r="A50" s="5" t="s">
        <v>61</v>
      </c>
    </row>
    <row r="51" spans="1:4" x14ac:dyDescent="0.15">
      <c r="A51" s="1" t="s">
        <v>35</v>
      </c>
      <c r="B51" s="7">
        <v>0.26998112392445028</v>
      </c>
      <c r="D51" s="7">
        <v>0.20786786231706222</v>
      </c>
    </row>
    <row r="52" spans="1:4" x14ac:dyDescent="0.15">
      <c r="A52" s="1" t="s">
        <v>35</v>
      </c>
      <c r="B52" s="7">
        <v>0.28741405708661388</v>
      </c>
      <c r="D52" s="7">
        <v>0.25438767192087258</v>
      </c>
    </row>
    <row r="54" spans="1:4" x14ac:dyDescent="0.15">
      <c r="A54" s="1" t="s">
        <v>36</v>
      </c>
      <c r="B54" s="7">
        <v>2.6726589235678344</v>
      </c>
      <c r="D54" s="7">
        <v>7.0486195376409114E-2</v>
      </c>
    </row>
    <row r="55" spans="1:4" x14ac:dyDescent="0.15">
      <c r="A55" s="1" t="s">
        <v>36</v>
      </c>
      <c r="B55" s="7">
        <v>2.8347116364799572</v>
      </c>
      <c r="D55" s="7">
        <v>0.10217890802367592</v>
      </c>
    </row>
    <row r="57" spans="1:4" x14ac:dyDescent="0.15">
      <c r="A57" s="1" t="s">
        <v>37</v>
      </c>
      <c r="B57" s="7">
        <v>0.64216078704140467</v>
      </c>
      <c r="D57" s="7">
        <v>-0.36871433225949635</v>
      </c>
    </row>
    <row r="58" spans="1:4" x14ac:dyDescent="0.15">
      <c r="A58" s="1" t="s">
        <v>37</v>
      </c>
      <c r="B58" s="7">
        <v>0.67123536678106799</v>
      </c>
      <c r="D58" s="7">
        <v>-0.31802443870862551</v>
      </c>
    </row>
  </sheetData>
  <mergeCells count="2">
    <mergeCell ref="F2:F3"/>
    <mergeCell ref="F23:F24"/>
  </mergeCells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IOPS</vt:lpstr>
      <vt:lpstr>percent of iops improment</vt:lpstr>
      <vt:lpstr>BW</vt:lpstr>
      <vt:lpstr>percent of BW improment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Tian Tian1 Liu</dc:creator>
  <cp:lastModifiedBy>Tian Tian1 Liu</cp:lastModifiedBy>
  <dcterms:created xsi:type="dcterms:W3CDTF">2018-07-18T03:14:58Z</dcterms:created>
  <dcterms:modified xsi:type="dcterms:W3CDTF">2018-07-19T09:27:16Z</dcterms:modified>
</cp:coreProperties>
</file>